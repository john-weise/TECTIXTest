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johnw\ATOaasNCSDemo\static\"/>
    </mc:Choice>
  </mc:AlternateContent>
  <xr:revisionPtr revIDLastSave="0" documentId="13_ncr:1_{34D57900-E87D-4EEC-A0F4-15FF9A0EDFE5}" xr6:coauthVersionLast="47" xr6:coauthVersionMax="47" xr10:uidLastSave="{00000000-0000-0000-0000-000000000000}"/>
  <bookViews>
    <workbookView xWindow="38290" yWindow="-110" windowWidth="38620" windowHeight="21100" tabRatio="599" firstSheet="1" activeTab="1" xr2:uid="{0BADD6BF-7E4A-463A-AC01-6E25E7481362}"/>
  </bookViews>
  <sheets>
    <sheet name="Package Status" sheetId="20" state="hidden" r:id="rId1"/>
    <sheet name="P-ISSM_Checklist" sheetId="19" r:id="rId2"/>
    <sheet name="ISSM Responses" sheetId="3" state="hidden" r:id="rId3"/>
    <sheet name="Responses" sheetId="2" state="hidden" r:id="rId4"/>
  </sheets>
  <definedNames>
    <definedName name="_xlnm._FilterDatabase" localSheetId="1" hidden="1">'P-ISSM_Checklist'!$A$3:$J$199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99" i="19" l="1"/>
  <c r="A198" i="19"/>
  <c r="A196" i="19"/>
  <c r="A195" i="19"/>
  <c r="A194" i="19"/>
  <c r="A193" i="19"/>
  <c r="A192" i="19"/>
  <c r="A191" i="19"/>
  <c r="A190" i="19"/>
  <c r="A189" i="19"/>
  <c r="A188" i="19"/>
  <c r="A186" i="19"/>
  <c r="A185" i="19"/>
  <c r="A183" i="19"/>
  <c r="A182" i="19"/>
  <c r="A181" i="19"/>
  <c r="A180" i="19"/>
  <c r="A179" i="19"/>
  <c r="A178" i="19"/>
  <c r="A177" i="19"/>
  <c r="A176" i="19"/>
  <c r="A174" i="19"/>
  <c r="A173" i="19"/>
  <c r="A171" i="19"/>
  <c r="A170" i="19"/>
  <c r="A169" i="19"/>
  <c r="A168" i="19"/>
  <c r="A167" i="19"/>
  <c r="A166" i="19"/>
  <c r="A165" i="19"/>
  <c r="A164" i="19"/>
  <c r="A163" i="19"/>
  <c r="A162" i="19"/>
  <c r="A161" i="19"/>
  <c r="A160" i="19"/>
  <c r="A159" i="19"/>
  <c r="A158" i="19"/>
  <c r="A156" i="19"/>
  <c r="A155" i="19"/>
  <c r="A154" i="19"/>
  <c r="A153" i="19"/>
  <c r="A152" i="19"/>
  <c r="A151" i="19"/>
  <c r="A150" i="19"/>
  <c r="A149" i="19"/>
  <c r="A148" i="19"/>
  <c r="A147" i="19"/>
  <c r="A146" i="19"/>
  <c r="A145" i="19"/>
  <c r="A144" i="19"/>
  <c r="A143" i="19"/>
  <c r="A142" i="19"/>
  <c r="A141" i="19"/>
  <c r="A140" i="19"/>
  <c r="A139" i="19"/>
  <c r="A138" i="19"/>
  <c r="A137" i="19"/>
  <c r="A136" i="19"/>
  <c r="A134" i="19"/>
  <c r="A133" i="19"/>
  <c r="A132" i="19"/>
  <c r="A131" i="19"/>
  <c r="A129" i="19"/>
  <c r="A128" i="19"/>
  <c r="A127" i="19"/>
  <c r="A126" i="19"/>
  <c r="A125" i="19"/>
  <c r="A123" i="19"/>
  <c r="A121" i="19"/>
  <c r="A119" i="19"/>
  <c r="A118" i="19"/>
  <c r="A116" i="19"/>
  <c r="A115" i="19"/>
  <c r="A114" i="19"/>
  <c r="A113" i="19"/>
  <c r="A111" i="19"/>
  <c r="A110" i="19"/>
  <c r="A108" i="19"/>
  <c r="A107" i="19"/>
  <c r="A105" i="19"/>
  <c r="A104" i="19"/>
  <c r="A103" i="19"/>
  <c r="A102" i="19"/>
  <c r="A101" i="19"/>
  <c r="A100" i="19"/>
  <c r="A99" i="19"/>
  <c r="A98" i="19"/>
  <c r="A96" i="19"/>
  <c r="A95" i="19"/>
  <c r="A94" i="19"/>
  <c r="A93" i="19"/>
  <c r="A92" i="19"/>
  <c r="A91" i="19"/>
  <c r="A90" i="19"/>
  <c r="A88" i="19"/>
  <c r="A87" i="19"/>
  <c r="A86" i="19"/>
  <c r="A85" i="19"/>
  <c r="A84" i="19"/>
  <c r="A83" i="19"/>
  <c r="A82" i="19"/>
  <c r="A81" i="19"/>
  <c r="A80" i="19"/>
  <c r="A79" i="19"/>
  <c r="A78" i="19"/>
  <c r="A76" i="19"/>
  <c r="A75" i="19"/>
  <c r="A73" i="19"/>
  <c r="A72" i="19"/>
  <c r="A70" i="19"/>
  <c r="A69" i="19"/>
  <c r="A68" i="19"/>
  <c r="A67" i="19"/>
  <c r="A65" i="19"/>
  <c r="A63" i="19"/>
  <c r="A61" i="19"/>
  <c r="A59" i="19"/>
  <c r="A58" i="19"/>
  <c r="A57" i="19"/>
  <c r="A56" i="19"/>
  <c r="A55" i="19"/>
  <c r="A53" i="19"/>
  <c r="A52" i="19"/>
  <c r="A51" i="19"/>
  <c r="A50" i="19"/>
  <c r="A49" i="19"/>
  <c r="A48" i="19"/>
  <c r="A47" i="19"/>
  <c r="A45" i="19"/>
  <c r="A44" i="19"/>
  <c r="A43" i="19"/>
  <c r="A42" i="19"/>
  <c r="A41" i="19"/>
  <c r="A39" i="19"/>
  <c r="A38" i="19"/>
  <c r="A37" i="19"/>
  <c r="A36" i="19"/>
  <c r="A34" i="19"/>
  <c r="A33" i="19"/>
  <c r="A32" i="19"/>
  <c r="A31" i="19"/>
  <c r="A30" i="19"/>
  <c r="A29" i="19"/>
  <c r="A28" i="19"/>
  <c r="A27" i="19"/>
  <c r="A26" i="19"/>
  <c r="A25" i="19"/>
  <c r="A24" i="19"/>
  <c r="A23" i="19"/>
  <c r="A22" i="19"/>
  <c r="A21" i="19"/>
  <c r="A20" i="19"/>
  <c r="A19" i="19"/>
  <c r="A18" i="19"/>
  <c r="A17" i="19"/>
  <c r="A15" i="19"/>
  <c r="A14" i="19"/>
  <c r="A16" i="19"/>
  <c r="A13" i="19"/>
  <c r="A12" i="19"/>
  <c r="A11" i="19"/>
  <c r="A10" i="19"/>
  <c r="A9" i="19"/>
  <c r="A8" i="19" l="1"/>
  <c r="A7" i="19" l="1"/>
  <c r="A6" i="19"/>
  <c r="A5" i="19"/>
  <c r="E4" i="20" l="1"/>
  <c r="E6" i="20"/>
  <c r="E5" i="20"/>
  <c r="E10" i="20"/>
  <c r="D10" i="20"/>
  <c r="E9" i="20"/>
  <c r="D9" i="20"/>
  <c r="E8" i="20"/>
  <c r="D8" i="20"/>
  <c r="E7" i="20"/>
  <c r="D7" i="20"/>
  <c r="D4" i="20"/>
  <c r="E3" i="20"/>
  <c r="D3" i="20"/>
  <c r="C9" i="20"/>
  <c r="B9" i="20"/>
  <c r="F9" i="20"/>
  <c r="C10" i="20"/>
  <c r="B10" i="20"/>
  <c r="F10" i="20"/>
  <c r="F8" i="20"/>
  <c r="C8" i="20"/>
  <c r="B8" i="20"/>
  <c r="F7" i="20"/>
  <c r="C7" i="20"/>
  <c r="B7" i="20"/>
  <c r="F6" i="20"/>
  <c r="D6" i="20"/>
  <c r="C6" i="20"/>
  <c r="B6" i="20"/>
  <c r="F5" i="20"/>
  <c r="D5" i="20"/>
  <c r="C5" i="20"/>
  <c r="B5" i="20"/>
  <c r="F4" i="20"/>
  <c r="C4" i="20"/>
  <c r="B4" i="20"/>
  <c r="F3" i="20"/>
  <c r="C3" i="20"/>
  <c r="B3" i="20"/>
  <c r="B14" i="20" l="1"/>
  <c r="C14" i="20" s="1"/>
  <c r="B13" i="20"/>
  <c r="C13" i="20" s="1"/>
  <c r="B12" i="20"/>
  <c r="C12" i="20" s="1"/>
  <c r="B15" i="20"/>
  <c r="C15" i="20" s="1"/>
  <c r="B11" i="20"/>
  <c r="C11" i="20" s="1"/>
  <c r="B16" i="20" l="1"/>
  <c r="C16" i="20" s="1"/>
</calcChain>
</file>

<file path=xl/sharedStrings.xml><?xml version="1.0" encoding="utf-8"?>
<sst xmlns="http://schemas.openxmlformats.org/spreadsheetml/2006/main" count="735" uniqueCount="257">
  <si>
    <t>Completion Rates</t>
  </si>
  <si>
    <t>Pass</t>
  </si>
  <si>
    <t>Fail</t>
  </si>
  <si>
    <t>Concern</t>
  </si>
  <si>
    <t>Confirm - Corrected</t>
  </si>
  <si>
    <t>N/A</t>
  </si>
  <si>
    <t>System</t>
  </si>
  <si>
    <t>Controls</t>
  </si>
  <si>
    <t>Assets</t>
  </si>
  <si>
    <t>POA&amp;Ms</t>
  </si>
  <si>
    <t xml:space="preserve">Artifacts </t>
  </si>
  <si>
    <t>Package</t>
  </si>
  <si>
    <t>Relationships</t>
  </si>
  <si>
    <t>Management</t>
  </si>
  <si>
    <t>Total Pass</t>
  </si>
  <si>
    <t>Total Fail</t>
  </si>
  <si>
    <t>Total Concern</t>
  </si>
  <si>
    <t>Total N/A</t>
  </si>
  <si>
    <t>Total Complete</t>
  </si>
  <si>
    <t>Tabs</t>
  </si>
  <si>
    <t>Requirement</t>
  </si>
  <si>
    <t>Package Type</t>
  </si>
  <si>
    <t>Result</t>
  </si>
  <si>
    <t>Returnable for Rework?</t>
  </si>
  <si>
    <t>Status</t>
  </si>
  <si>
    <t>ISO/PM Evidence &amp; Comments</t>
  </si>
  <si>
    <t>Details: System Information</t>
  </si>
  <si>
    <t>eMASS Required Fields</t>
  </si>
  <si>
    <t>No-Add to Terms &amp; Conditions</t>
  </si>
  <si>
    <t>Workflow title has the correct Naming Convention</t>
  </si>
  <si>
    <t>ISO - On the Spot Correction Suffices</t>
  </si>
  <si>
    <t>Required Field in eMASS</t>
  </si>
  <si>
    <t>SP</t>
  </si>
  <si>
    <t>Autopopulated by eMASS</t>
  </si>
  <si>
    <t>No Further Action Required</t>
  </si>
  <si>
    <t>National Security System' checklist filled out completely?</t>
  </si>
  <si>
    <t>If 'Public Facing Component / Presence:' is Yes; does the Auth Boundary identify the public facing component/capability, IP &amp; FQDN provided, Whitelisted and Publicly accessible?</t>
  </si>
  <si>
    <r>
      <t xml:space="preserve">System User Categories' Identify roles, responsibilities and categories for system </t>
    </r>
    <r>
      <rPr>
        <b/>
        <sz val="11"/>
        <color theme="1"/>
        <rFont val="Aptos Narrow"/>
        <family val="2"/>
        <scheme val="minor"/>
      </rPr>
      <t>*confirm if Foreign Nationals are authorized to use the system*</t>
    </r>
  </si>
  <si>
    <t>Does the commercial cloud system have an Impact Level 4 or 5: Controlled Unclassified Information and Unclassified National Security Information (U-NSI)</t>
  </si>
  <si>
    <t>Yes</t>
  </si>
  <si>
    <t>System Authorization Boundary' has an Executive Summary on the System Details tab, the Artifact is Linked or attached, and has a date less than 1 year old.
*review Cloud checks if applicable*</t>
  </si>
  <si>
    <t>'System Enterprise and Information Security Architecture' has an Executive Summary on the System Details tab, the Artifact is Linked or attached, and has a date less than 1 year old.</t>
  </si>
  <si>
    <t>No - Add to Terms &amp; Conditions</t>
  </si>
  <si>
    <t>Cloud Review Check</t>
  </si>
  <si>
    <t>Is there a clear depiction of the Cloud Service Provider (CSP) / CSO within the Network Topology Diagrams?</t>
  </si>
  <si>
    <t xml:space="preserve">Does the Network Topology Diagrams show connection of the CSP to customers via Cloud Access Point (CAP) for sensitive data (CUI as handled at Impact Levels 4/5 or classified information up to SECRET as handled at Level 6)?
NOTE: IL 4/5 - A Boundary CAP (BCAP) is required to connect off-premises non-DoD (commercially or governmentally) owned and operated CSOs to the DISN (or other DoD networks).
</t>
  </si>
  <si>
    <t>Does the Network Topology Diagrams align with the cloud service model?</t>
  </si>
  <si>
    <t>'Network Connection Rules' provided? If yes, artifact such as ISA provided?</t>
  </si>
  <si>
    <t>Interconnected Information Systems and Identifiers’ provided? If yes, artifact such as ISA provided?
NOTE: CSD ISA template is available.</t>
  </si>
  <si>
    <t>AMC Entrance Criteria</t>
  </si>
  <si>
    <t>Does system have a registration in the Authorizing Official Repository (AO-R)?</t>
  </si>
  <si>
    <t>System Details: System Location</t>
  </si>
  <si>
    <t>System Location' is correct</t>
  </si>
  <si>
    <t>'Deployment Locations' Provided</t>
  </si>
  <si>
    <t>Not a Required Field in eMASS</t>
  </si>
  <si>
    <t>Baseline Location' Provided</t>
  </si>
  <si>
    <t>Physical Location(s)' Provided</t>
  </si>
  <si>
    <t>System Details: Authorization Information</t>
  </si>
  <si>
    <t>Approved SP obtained within one year'</t>
  </si>
  <si>
    <t>'System Life Cycle / Acquisition Phase' Provided</t>
  </si>
  <si>
    <r>
      <t xml:space="preserve">'Type Authorization' is Yes </t>
    </r>
    <r>
      <rPr>
        <b/>
        <sz val="11"/>
        <color theme="1"/>
        <rFont val="Aptos Narrow"/>
        <family val="2"/>
        <scheme val="minor"/>
      </rPr>
      <t>*requires technical artifacts for all locations &amp; signed TSP/MOA/MOU/SLA documenting gaining unit's responsibilities*</t>
    </r>
  </si>
  <si>
    <t>Highest System Data Classification</t>
  </si>
  <si>
    <t>'RMF Activity' identifies current RMF phase</t>
  </si>
  <si>
    <t>System Details: FISMA</t>
  </si>
  <si>
    <t>Security Review field(s) answered</t>
  </si>
  <si>
    <t>Contingency Plan field(s) answered
Is there a Contingency Plan in place for this system that addresses disruptions in operations?
Contingency Plan Artifact attached?
Has this system's Contingency Plan been tested within the past year?
Date this system's Contingency Plan was tested.</t>
  </si>
  <si>
    <t>Incident Response Plan field(s) answered
Incident Response Plan Required = Yes or No
If Yes, Incident Response Test Date *within 1 year
Incident Response Plan Artifact Attached Yes or No</t>
  </si>
  <si>
    <t>Disaster Recover Plan field(s) answered
Disaster Recovery Plan Required = Yes or No
If Yes, Disaster Recovery Test Date *within 1 year
Disaster Recovery Plan Artifact Attached Yes or No</t>
  </si>
  <si>
    <t>Privacy Impact Assessment field(s) answered
Privacy Impact Assessment Required = Yes or No
If Yes, Privacy Impact Assessment = Completed/In Progress/Not Started
If Yes, Privacy Impact Assessment Date = within 3 years
If Yes, Privacy Impact Assessment Artifact Attached?</t>
  </si>
  <si>
    <t>Privacy Act System of Record Notice field answered</t>
  </si>
  <si>
    <t>E-Authentication Risk Assessment field(s) answered</t>
  </si>
  <si>
    <t>System Details: Business</t>
  </si>
  <si>
    <t>System Details: External Security Services</t>
  </si>
  <si>
    <t>System Details: Connectivity/CCSD</t>
  </si>
  <si>
    <t>Categorization:  Control Selection</t>
  </si>
  <si>
    <t>'Impact Level' Identified</t>
  </si>
  <si>
    <t>'Information Type Evidence' Artifact Linked</t>
  </si>
  <si>
    <t>Categorization:  Overlays</t>
  </si>
  <si>
    <t>Are any Overlays applied to the system and have all Overlay questions been answered?</t>
  </si>
  <si>
    <t xml:space="preserve">Were controls added or subtracted due to an overlay or manual tailoring? </t>
  </si>
  <si>
    <t>Categorization:  Security Technical Implementation Guides</t>
  </si>
  <si>
    <t>Have 'STIGS/SRGs' been identified for all security relevant Hardware, Software and functions as validated against, HW/SW List and Module, Diagrams, ACAS Scans &amp; Other relevant system information?</t>
  </si>
  <si>
    <t>Not Yet Assessed</t>
  </si>
  <si>
    <t>Control Listing</t>
  </si>
  <si>
    <t>Does system have any significant changes since last Authorization</t>
  </si>
  <si>
    <t>Assessed 'Non Compliant' and 'Not Applicable' controls without an active POA&amp;M Item = 0 and verify that all failed checks have a POA&amp;M</t>
  </si>
  <si>
    <r>
      <t xml:space="preserve">All controls have a status of Official or Validated? Exception with those with traceability through a POA&amp;M &amp; </t>
    </r>
    <r>
      <rPr>
        <b/>
        <sz val="11"/>
        <color theme="1"/>
        <rFont val="Aptos Narrow"/>
        <family val="2"/>
        <scheme val="minor"/>
      </rPr>
      <t>Excluding Inherited controls</t>
    </r>
  </si>
  <si>
    <t xml:space="preserve">Are any Non-Compliant package controls flagged as Critical (Red Diamond)? If yes, was detailed review and assessment of the effectiveness of mitigations completed? </t>
  </si>
  <si>
    <t xml:space="preserve">Not Applicable’ CCI’s have valid justification for status. </t>
  </si>
  <si>
    <t xml:space="preserve">SLCM [ConMon] strategy [for all Controls including Red Critical and FISMA controls], correlation and analysis activities, and response actions are documented and associated to CA-7. </t>
  </si>
  <si>
    <t xml:space="preserve">Incident Response Plan provided as an artifact for IR-8 and evidence of most recent IR Test provided in IR-3. </t>
  </si>
  <si>
    <t>Implementation Plan</t>
  </si>
  <si>
    <t>'Compliant' Controls have 'Implemented' or 'Inherited' Implementation Status</t>
  </si>
  <si>
    <t>'Non-Compliant' Controls have 'Planned' or 'Not Implemented" Implementation Status</t>
  </si>
  <si>
    <t>'Not Applicable' Controls have 'Not Applicable' or 'Inherited' Implementation Status</t>
  </si>
  <si>
    <t>Estimated Completion Date' (ECD) is in the future for Control's with a 'Planned' Implementation Status; ECD is current or is in the past for Controls with an  'Implemented' Implementation Status; ECD is 'blank' for Controls with a 'Not Applicable' Implementation Status.</t>
  </si>
  <si>
    <t xml:space="preserve">Is the Implementation Narrative present? </t>
  </si>
  <si>
    <t xml:space="preserve">Are Responsible Entities identified? </t>
  </si>
  <si>
    <t>Risk Assessment</t>
  </si>
  <si>
    <t>Completed Risk Assessment</t>
  </si>
  <si>
    <t>Non-Compliant' Controls:  Vulnerability Summary, Impact Description, and Recommendations have a response</t>
  </si>
  <si>
    <t>Compliant' Controls:  Vulnerability Summary, Impact Description, and Recommendations have been removed</t>
  </si>
  <si>
    <t>Not Applicable' Controls: Vulnerability Summary, Impact Description, and Recommendations have been removed</t>
  </si>
  <si>
    <t>Risk Attribute for Impact Description matches system categorization C-I-A impact level</t>
  </si>
  <si>
    <t>Actions</t>
  </si>
  <si>
    <t>There are no 'Enter Non-Compliant Test Results for Compliant APs' suggested actions</t>
  </si>
  <si>
    <t>Are all errors cleared? (Incorrect Compliance status, failed security checks, POA&amp;M's to close,…)</t>
  </si>
  <si>
    <t>Findings: Controls</t>
  </si>
  <si>
    <t>There are no 'Conflicted Findings' with technical scan results.</t>
  </si>
  <si>
    <t>There are no 'Unmapped Findings'</t>
  </si>
  <si>
    <t>Findings: Benchmarks</t>
  </si>
  <si>
    <t xml:space="preserve">Does record contain benchmark technical data? </t>
  </si>
  <si>
    <t xml:space="preserve">Are STIGs imported for every STIG applied in Categorization module? </t>
  </si>
  <si>
    <t xml:space="preserve">Are STIGS imported that are not documented as a requirement? </t>
  </si>
  <si>
    <t>Does the record contain current STIG/SRG technical data and are all applicable STIGs/SRGs current IAW the DISA Version | Release?</t>
  </si>
  <si>
    <t>Findings: Devices</t>
  </si>
  <si>
    <t>Any vulnerability that remains open has an associated POA&amp;M with mitigations sufficient to lower the risk of the vulnerability</t>
  </si>
  <si>
    <t>Findings: Applications</t>
  </si>
  <si>
    <t>Resources</t>
  </si>
  <si>
    <t>Is there traceability between the devices in the Resources Module and the devices documented in the system Diagrams, HW/SW Lists and HW/SW Module?</t>
  </si>
  <si>
    <t>HW Baseline</t>
  </si>
  <si>
    <t>'Component Type', 'Asset Name', 'IP Address' (if applicable), 'Public Facing', 'Public Facing FQDN', 'Public Facing IP Address' , Public Facing URL(s)' (if applicable), 'Virtual Asset', 'Manufacturer', 'Model Number', 'Serial Number' (if applicable), 'OS/iOS/FW Version', 'Location' provided for each component listed</t>
  </si>
  <si>
    <t>All component types listed appear in the 'System Authorization Boundary' Artifact</t>
  </si>
  <si>
    <t>All OS/iOS/FW versions listed on the 'System Authorization Boundary' Artifact are present and match the 'OS/iOS/FW Version' on the HW tab</t>
  </si>
  <si>
    <t>Is there a POC identified for Hardware?</t>
  </si>
  <si>
    <t>Is there a POA&amp;M for End of Life Hardware inside the authorization boundary?</t>
  </si>
  <si>
    <t>SW Baseline</t>
  </si>
  <si>
    <t>Software Type', 'Software Vendor', 'Software Name', and 'Software Version' provided for each software listed</t>
  </si>
  <si>
    <t>All Software identified in ACAS scans appear in the Software Baseline</t>
  </si>
  <si>
    <t>Is there a POC identified for Software?</t>
  </si>
  <si>
    <t>Is there a POA&amp;M for End of Life Software inside the authorization boundary with mitigations sufficient to lower the risk of the vulnerability?</t>
  </si>
  <si>
    <t>POAM</t>
  </si>
  <si>
    <t>POC Information provided under 'General POA&amp;M Information'</t>
  </si>
  <si>
    <t>'Point of Contact' information provided in each POA&amp;M record</t>
  </si>
  <si>
    <t>All POA&amp;M Entries are mapped to the applicable security control</t>
  </si>
  <si>
    <t>POA&amp;M status and control status do not conflict</t>
  </si>
  <si>
    <t>'Vulnerability Description' describes vulnerability, except for Not Applicable Control POA&amp;Ms</t>
  </si>
  <si>
    <t>Mitigations' entries are specific to the vulnerabilities, reference compliant compensating controls and/or additional protections implemented, and are sufficient to lower the risk of the vulnerability</t>
  </si>
  <si>
    <t>'Residual Risk' values match recommended values</t>
  </si>
  <si>
    <t>POA&amp;M Risk levels are at or below the high water marks of the Risk Assessment Module. This check is not against the SAR</t>
  </si>
  <si>
    <t>Are all expired POA&amp;M's pending an extension?</t>
  </si>
  <si>
    <t>Are there Risk Accepted POA&amp;Ms, do they have valid a justification in either the 'Comments' or 'Recommendations' field?</t>
  </si>
  <si>
    <t>POA&amp;M records with a 'Status' entry of Completed have evidence to validate vulnerability was closed</t>
  </si>
  <si>
    <t>False Positives/False Negatives listed in CM-6.5 have supporting documentation?</t>
  </si>
  <si>
    <t xml:space="preserve">Are STIG checks present that identify no affected assets or checks with no open finding POA&amp;M items? If so, are those POA&amp;Ms marked 'Completed'? </t>
  </si>
  <si>
    <t xml:space="preserve">No new 'Very High' or 'High' Residual Risk has been identified since last authorization </t>
  </si>
  <si>
    <t>Artifacts</t>
  </si>
  <si>
    <t>Signed Appointment Letters (ISO, O-ISSM &amp; ISSO)</t>
  </si>
  <si>
    <t>PPS List, Documented PPS [e.g., in diagrams, CONOPs, etc.], or Ports/Protocols tab completed</t>
  </si>
  <si>
    <r>
      <t xml:space="preserve">Applicable SOPs signed by current appointed authority and reviewed within the last 365 days </t>
    </r>
    <r>
      <rPr>
        <b/>
        <sz val="11"/>
        <color theme="1"/>
        <rFont val="Aptos Narrow"/>
        <family val="2"/>
        <scheme val="minor"/>
      </rPr>
      <t>*must be mapped/linked to the applicable controls/APs/CCIs*</t>
    </r>
  </si>
  <si>
    <t>PKI Waiver [AO approved]?</t>
  </si>
  <si>
    <t>HBSS Waiver [AO approved?]</t>
  </si>
  <si>
    <t>PIA - Less than 3 years old [and not in-progress or pending AO approval]</t>
  </si>
  <si>
    <r>
      <t xml:space="preserve">SCA-V/SCA-O SAR </t>
    </r>
    <r>
      <rPr>
        <b/>
        <sz val="11"/>
        <color theme="1"/>
        <rFont val="Aptos Narrow"/>
        <family val="2"/>
        <scheme val="minor"/>
      </rPr>
      <t>*new systems or systems with no previous 3rd party assessment*</t>
    </r>
  </si>
  <si>
    <r>
      <t xml:space="preserve">SCA-V/SCA-O Recommendation Memo </t>
    </r>
    <r>
      <rPr>
        <b/>
        <sz val="11"/>
        <color theme="1"/>
        <rFont val="Aptos Narrow"/>
        <family val="2"/>
        <scheme val="minor"/>
      </rPr>
      <t>*new systems or systems with no previous 3rd party assessment*</t>
    </r>
  </si>
  <si>
    <r>
      <t xml:space="preserve">SCA-V/SCA-O Assessment Scan Results (ACAS/STIGs) </t>
    </r>
    <r>
      <rPr>
        <b/>
        <sz val="11"/>
        <color theme="1"/>
        <rFont val="Aptos Narrow"/>
        <family val="2"/>
        <scheme val="minor"/>
      </rPr>
      <t>*new systems or systems with no previous 3rd party assessment*</t>
    </r>
  </si>
  <si>
    <t>Self-Assessment Scan Results (ACAS/STIGs)</t>
  </si>
  <si>
    <t>All Self-Assessment .ckls are completed per requirements</t>
  </si>
  <si>
    <t>Historical Package Listing</t>
  </si>
  <si>
    <t> </t>
  </si>
  <si>
    <t>Terms/conditions of previous authorization decision addressed?</t>
  </si>
  <si>
    <t>Inheritance</t>
  </si>
  <si>
    <t>Are there any critical controls that are being inherited by system from an inheritance relationship that are "Non-Compliant"? 'Do the Red Critical POAMs have an effective Mitigation?</t>
  </si>
  <si>
    <r>
      <t xml:space="preserve">Cybersecurity Service Provider (CSSP) Inheritance established and/or not aligned with cloud service model and data impact level? </t>
    </r>
    <r>
      <rPr>
        <b/>
        <sz val="11"/>
        <color theme="1"/>
        <rFont val="Aptos Narrow"/>
        <family val="2"/>
        <scheme val="minor"/>
      </rPr>
      <t>*if applicable*</t>
    </r>
  </si>
  <si>
    <r>
      <t xml:space="preserve">Manual inheritance established for any control inherited but not captured under a policy record </t>
    </r>
    <r>
      <rPr>
        <b/>
        <sz val="11"/>
        <color theme="1"/>
        <rFont val="Aptos Narrow"/>
        <family val="2"/>
        <scheme val="minor"/>
      </rPr>
      <t>*TSP/MOU/MOA/SLA must document the details/justification for the manual inheritance*</t>
    </r>
  </si>
  <si>
    <t>Associations</t>
  </si>
  <si>
    <r>
      <t xml:space="preserve">Documented 'External Systems' listed as needed </t>
    </r>
    <r>
      <rPr>
        <b/>
        <sz val="11"/>
        <color theme="1"/>
        <rFont val="Aptos Narrow"/>
        <family val="2"/>
        <scheme val="minor"/>
      </rPr>
      <t>*should include any external relationships*</t>
    </r>
  </si>
  <si>
    <t>Package Approval Chain</t>
  </si>
  <si>
    <t>Correct PAC ISO/PM</t>
  </si>
  <si>
    <t>Correct PAC O-ISSM</t>
  </si>
  <si>
    <t>Correct PAC P-ISSM</t>
  </si>
  <si>
    <t>Correct PAC SCA-R</t>
  </si>
  <si>
    <t>Correct PAC SCA-A</t>
  </si>
  <si>
    <t>Correct PAC AO</t>
  </si>
  <si>
    <t>Correct PAC AODR</t>
  </si>
  <si>
    <t xml:space="preserve">Correct PAC Network AO </t>
  </si>
  <si>
    <t>Correct PAC Network AODR</t>
  </si>
  <si>
    <t>Control Approval Chain</t>
  </si>
  <si>
    <t>Correct CAC ISO/PM/ISSO</t>
  </si>
  <si>
    <t>Correct CAC SCA-V</t>
  </si>
  <si>
    <t>Fixed</t>
  </si>
  <si>
    <t>POA&amp;M</t>
  </si>
  <si>
    <t>30 Day Check</t>
  </si>
  <si>
    <t>No</t>
  </si>
  <si>
    <t>Corrections Required</t>
  </si>
  <si>
    <t>60 Day Check</t>
  </si>
  <si>
    <t>yes</t>
  </si>
  <si>
    <t>90 Day Check</t>
  </si>
  <si>
    <t>Maybe</t>
  </si>
  <si>
    <t>120 Day Check</t>
  </si>
  <si>
    <t>150 Day Check</t>
  </si>
  <si>
    <t>Previously Corrected</t>
  </si>
  <si>
    <t>180 Day Check</t>
  </si>
  <si>
    <t>210 Day Check</t>
  </si>
  <si>
    <r>
      <rPr>
        <b/>
        <sz val="11"/>
        <color theme="1"/>
        <rFont val="Aptos Narrow"/>
        <family val="2"/>
        <scheme val="minor"/>
      </rPr>
      <t>If Assess Only</t>
    </r>
    <r>
      <rPr>
        <sz val="11"/>
        <color theme="1"/>
        <rFont val="Aptos Narrow"/>
        <family val="2"/>
        <scheme val="minor"/>
      </rPr>
      <t>, System 'Mission Criticality' and CIA values adhere to the Assess Only Approval path documented in section 4, figure 2 of the Assess Only TTP?</t>
    </r>
  </si>
  <si>
    <r>
      <rPr>
        <sz val="11"/>
        <color theme="1"/>
        <rFont val="Aptos Narrow"/>
        <family val="2"/>
        <scheme val="minor"/>
      </rPr>
      <t xml:space="preserve">'PPSM Registry Number' Provided </t>
    </r>
    <r>
      <rPr>
        <b/>
        <sz val="11"/>
        <color theme="1"/>
        <rFont val="Aptos Narrow"/>
        <family val="2"/>
        <scheme val="minor"/>
      </rPr>
      <t>*required for SaaS (all impact levels)*</t>
    </r>
  </si>
  <si>
    <r>
      <rPr>
        <sz val="11"/>
        <color theme="1"/>
        <rFont val="Aptos Narrow"/>
        <family val="2"/>
        <scheme val="minor"/>
      </rPr>
      <t>Are the HW &amp; SW Baselines populated? ''Hardware / Software / Firmware' has an Executive Summary on the System Details tab, the Artifact Linked or attached, and has a date less than 1 year old. *template must be used to meet requirement*</t>
    </r>
  </si>
  <si>
    <r>
      <t xml:space="preserve">Recommended Added Controls are addressed?
</t>
    </r>
    <r>
      <rPr>
        <b/>
        <sz val="11"/>
        <color theme="1"/>
        <rFont val="Aptos Narrow"/>
        <family val="2"/>
        <scheme val="minor"/>
      </rPr>
      <t>Add Recommended controls should = 0.</t>
    </r>
    <r>
      <rPr>
        <sz val="11"/>
        <color theme="1"/>
        <rFont val="Aptos Narrow"/>
        <family val="2"/>
        <scheme val="minor"/>
      </rPr>
      <t xml:space="preserve"> If not, this will result in a Return for Rework.</t>
    </r>
  </si>
  <si>
    <r>
      <rPr>
        <b/>
        <sz val="11"/>
        <color theme="1"/>
        <rFont val="Aptos Narrow"/>
        <family val="2"/>
        <scheme val="minor"/>
      </rPr>
      <t xml:space="preserve">For Assess Only packages </t>
    </r>
    <r>
      <rPr>
        <sz val="11"/>
        <color theme="1"/>
        <rFont val="Aptos Narrow"/>
        <family val="2"/>
        <scheme val="minor"/>
      </rPr>
      <t>where there is scannable Hardware and Software is RA-5 in the baseline?</t>
    </r>
  </si>
  <si>
    <r>
      <rPr>
        <b/>
        <sz val="11"/>
        <color theme="1"/>
        <rFont val="Aptos Narrow"/>
        <family val="2"/>
        <scheme val="minor"/>
      </rPr>
      <t xml:space="preserve">For Assess Only packages </t>
    </r>
    <r>
      <rPr>
        <sz val="11"/>
        <color theme="1"/>
        <rFont val="Aptos Narrow"/>
        <family val="2"/>
        <scheme val="minor"/>
      </rPr>
      <t>where CSSP inheritance cannot be established and no CSSP artifact is present, have the following controls been addressed (cannot be N/A)? 
AC-2.9, AC-2.18 , SA-5.10, SA-11.4, SA-11.8, SC-5.1, SI-2.2, SI-2.4</t>
    </r>
  </si>
  <si>
    <r>
      <t xml:space="preserve">Have Code analysis scans been provided for any system, including Public Facing systems, using Government Developed, GOTS or Open Source Software? </t>
    </r>
    <r>
      <rPr>
        <b/>
        <sz val="11"/>
        <color theme="1"/>
        <rFont val="Aptos Narrow"/>
        <family val="2"/>
        <scheme val="minor"/>
      </rPr>
      <t>*confirm the baseline has been tailored to include the following as applicable*</t>
    </r>
    <r>
      <rPr>
        <sz val="11"/>
        <color theme="1"/>
        <rFont val="Aptos Narrow"/>
        <family val="2"/>
        <scheme val="minor"/>
      </rPr>
      <t xml:space="preserve">:                      
</t>
    </r>
    <r>
      <rPr>
        <b/>
        <sz val="11"/>
        <color theme="1"/>
        <rFont val="Aptos Narrow"/>
        <family val="2"/>
        <scheme val="minor"/>
      </rPr>
      <t>-SA-11 (1) when source code is available
-SA-11 (8) when source code is not available
-SI-2 when source code dependencies are available</t>
    </r>
  </si>
  <si>
    <r>
      <t xml:space="preserve">POA&amp;M records with 'Status' entries of </t>
    </r>
    <r>
      <rPr>
        <i/>
        <sz val="11"/>
        <color theme="1"/>
        <rFont val="Aptos Narrow"/>
        <family val="2"/>
        <scheme val="minor"/>
      </rPr>
      <t>Ongoing</t>
    </r>
    <r>
      <rPr>
        <sz val="11"/>
        <color theme="1"/>
        <rFont val="Aptos Narrow"/>
        <family val="2"/>
        <scheme val="minor"/>
      </rPr>
      <t xml:space="preserve"> list key events/steps required to close or mitigate the findings as milestones with Scheduled Completion Dates that are realistic and relevant</t>
    </r>
  </si>
  <si>
    <r>
      <t xml:space="preserve">POA&amp;M records with 'Status' entries of </t>
    </r>
    <r>
      <rPr>
        <i/>
        <sz val="11"/>
        <color theme="1"/>
        <rFont val="Aptos Narrow"/>
        <family val="2"/>
        <scheme val="minor"/>
      </rPr>
      <t>Ongoing</t>
    </r>
    <r>
      <rPr>
        <sz val="11"/>
        <color theme="1"/>
        <rFont val="Aptos Narrow"/>
        <family val="2"/>
        <scheme val="minor"/>
      </rPr>
      <t xml:space="preserve"> that surpassed milestone completion dates have new milestones with future completion dates and details of why the previous milestones were missed</t>
    </r>
  </si>
  <si>
    <r>
      <t xml:space="preserve">'Source Identifying Vulnerability' information provided in POA&amp;M records with 'Status' entries of </t>
    </r>
    <r>
      <rPr>
        <i/>
        <sz val="11"/>
        <color theme="1"/>
        <rFont val="Aptos Narrow"/>
        <family val="2"/>
        <scheme val="minor"/>
      </rPr>
      <t>Ongoing</t>
    </r>
    <r>
      <rPr>
        <sz val="11"/>
        <color theme="1"/>
        <rFont val="Aptos Narrow"/>
        <family val="2"/>
        <scheme val="minor"/>
      </rPr>
      <t xml:space="preserve"> and </t>
    </r>
    <r>
      <rPr>
        <i/>
        <sz val="11"/>
        <color theme="1"/>
        <rFont val="Aptos Narrow"/>
        <family val="2"/>
        <scheme val="minor"/>
      </rPr>
      <t>Risk Accepted</t>
    </r>
  </si>
  <si>
    <r>
      <t xml:space="preserve">All Controls/APs/CCIs 1. have been assessed and 2. have a current Test Result in eMASS that are less than 1 yr old? Controls cannot have a status of incomplete or Unassessed (UA). </t>
    </r>
    <r>
      <rPr>
        <b/>
        <sz val="11"/>
        <color theme="1"/>
        <rFont val="Aptos Narrow"/>
        <family val="2"/>
        <scheme val="minor"/>
      </rPr>
      <t>*Existing or Expired ATO only*</t>
    </r>
  </si>
  <si>
    <t>ISSM Comment</t>
  </si>
  <si>
    <t>ISSM Recommendation</t>
  </si>
  <si>
    <t>Package Review Check</t>
  </si>
  <si>
    <t xml:space="preserve"> Entrance Criteria</t>
  </si>
  <si>
    <t xml:space="preserve">Does 'Severity' match  Risk Analysis guidance for all POA&amp;M records with 'Status' entries of Ongoing and Risk Accepted? </t>
  </si>
  <si>
    <t xml:space="preserve">Does 'Relevance of Threat' match  Risk Analysis guidance for all POA&amp;M records with 'Status' entries of Ongoing and Risk Accepted? </t>
  </si>
  <si>
    <t xml:space="preserve">Does 'Likelihood' match  Risk Analysis guidance for all POA&amp;M records with 'Status' entries of Ongoing and Risk Accepted? </t>
  </si>
  <si>
    <t>Does system have a previous  Control Assessor recommendation or had an independent validation?</t>
  </si>
  <si>
    <t xml:space="preserve">  Entrance Criteria</t>
  </si>
  <si>
    <t>System Details: /I</t>
  </si>
  <si>
    <t>All /I Fields Addressed (only applies if the Org owns the circuit/CCSD)</t>
  </si>
  <si>
    <t>All 14  Critical Controls are in the system Baseline? 
Unassessed Red Critical &amp; FISMA Controls?
All Red Critical &amp; FISMA controls/APs/CCIs have test results in eMASS that are less than 1 yr old?</t>
  </si>
  <si>
    <t xml:space="preserve"> Specific controls that are Not Compliant have a Risk Assessment Summary entry</t>
  </si>
  <si>
    <t xml:space="preserve">Authorization Termination Date' inline with Data </t>
  </si>
  <si>
    <t>Documented 'Associations' listed as needed *should include any Dependencies listed in Data*</t>
  </si>
  <si>
    <t>eMASS 'System Name' matches Data 'Item Name'</t>
  </si>
  <si>
    <t>eMASS 'Acronym' matches Data 'Acronym'</t>
  </si>
  <si>
    <t>'National Security System' matches Data and ITS *the Privacy Overlay  should be applied if the NSS processes, stores or transmits PII'*</t>
  </si>
  <si>
    <t xml:space="preserve">Systems contains CUI, PII and/or PHI and matches Data? If System contains CUI, the Confidentiality and Integrity must be MODERATE or HIGH. </t>
  </si>
  <si>
    <t>'System Description' matches Data 'Description' (no deviations allowed)</t>
  </si>
  <si>
    <t>'Mission Criticality' matches Data *If Assess Only, System ‘Mission Criticality’ allows for Assess Only*</t>
  </si>
  <si>
    <t>'Governing Mission Area' matches Data 'System Mission Area'</t>
  </si>
  <si>
    <t>'Acquisition Category' matches Data</t>
  </si>
  <si>
    <t>'Software Category' matches Data *Assess Only*</t>
  </si>
  <si>
    <t>'System Ownership / Controlled' matches Data 'System Operation'</t>
  </si>
  <si>
    <t>'Applied Information Types' matches Information Type Evidence Artifact</t>
  </si>
  <si>
    <t>'Control Attributes' matches Information Type Evidence Artifact</t>
  </si>
  <si>
    <t>'Financial Management System' matches Data 'Account System Feeder' *verify the Financial Management Overlay  is applied if 'yes'*</t>
  </si>
  <si>
    <t>'Data ID' matches eMASS 'Data' Number</t>
  </si>
  <si>
    <r>
      <rPr>
        <sz val="11"/>
        <color theme="1"/>
        <rFont val="Aptos Narrow"/>
        <family val="2"/>
        <scheme val="minor"/>
      </rPr>
      <t xml:space="preserve">Does the Cloud Service Offering (CSO) have a current PA? </t>
    </r>
    <r>
      <rPr>
        <b/>
        <sz val="11"/>
        <color theme="1"/>
        <rFont val="Aptos Narrow"/>
        <family val="2"/>
        <scheme val="minor"/>
      </rPr>
      <t xml:space="preserve">
</t>
    </r>
    <r>
      <rPr>
        <sz val="11"/>
        <color theme="1"/>
        <rFont val="Aptos Narrow"/>
        <family val="2"/>
        <scheme val="minor"/>
      </rPr>
      <t xml:space="preserve">
Does the CSO have a pending submission for PA?
Does the CSO have a FEDRAMP approval?</t>
    </r>
  </si>
  <si>
    <t xml:space="preserve">'Information Flows / Paths' has an Executive Summary on the System Details tab, the Artifact is Linked or attached, and has a date less than 1 year old. </t>
  </si>
  <si>
    <t>Is there an entry in the DMZ whitelist?</t>
  </si>
  <si>
    <r>
      <t xml:space="preserve">Encryption Techniques' provided to protect DAR and DIT </t>
    </r>
    <r>
      <rPr>
        <b/>
        <sz val="11"/>
        <color theme="1"/>
        <rFont val="Aptos Narrow"/>
        <family val="2"/>
        <scheme val="minor"/>
      </rPr>
      <t>[CUI/PII/PH data]</t>
    </r>
    <r>
      <rPr>
        <sz val="11"/>
        <color theme="1"/>
        <rFont val="Aptos Narrow"/>
        <family val="2"/>
        <scheme val="minor"/>
      </rPr>
      <t xml:space="preserve"> </t>
    </r>
  </si>
  <si>
    <t xml:space="preserve">'Cryptographic Key Management Information' (e.g., public key infrastructures, certificate authorities, EKMS, KMI, etc.) </t>
  </si>
  <si>
    <t xml:space="preserve">All External Security Services (ESS) Fields Addressed </t>
  </si>
  <si>
    <r>
      <t xml:space="preserve">Connection point(s) details provided </t>
    </r>
    <r>
      <rPr>
        <b/>
        <i/>
        <sz val="11"/>
        <color theme="1"/>
        <rFont val="Calibri"/>
        <family val="2"/>
      </rPr>
      <t>if applicable [Connectivity/CCSD].</t>
    </r>
    <r>
      <rPr>
        <i/>
        <sz val="11"/>
        <color theme="1"/>
        <rFont val="Calibri"/>
        <family val="2"/>
      </rPr>
      <t xml:space="preserve">
</t>
    </r>
  </si>
  <si>
    <t xml:space="preserve">Common Control Provider identified for fully inherited and hybrid inherited controls &amp; correct Security Control Designation listed? </t>
  </si>
  <si>
    <t xml:space="preserve">All Risk Attributes are populated IAW Risk Analysis and do not deviate from Recommended values without documentation and support for change. </t>
  </si>
  <si>
    <t>Are any  Tier1 CCP, Army Tier2  or CCP controls showing up passing inheritance through the system?</t>
  </si>
  <si>
    <t xml:space="preserve">ACAS scans for 100% of the devices within the last 30 days or IAW any AO approved exceptions. </t>
  </si>
  <si>
    <t>Is this a Cloud Computer? 
Does the Cloud Computer' match the Infrastructure section in Data *confirm correct Cloud Type &amp; Service Model are selected if applicable*</t>
  </si>
  <si>
    <t xml:space="preserve">Does 'Impact' match System 'Impact Level' for all POA&amp;M records with 'Status' entries of Ongoing and Risk Accepted? </t>
  </si>
  <si>
    <t>Does the Production cloud system have an established inheritance relationship with C5ISR and does the CSO Impact Level (example IL4, IL5) match the system details? *will be added to T&amp;C for IATT &amp; non-prod cloud systems*</t>
  </si>
  <si>
    <t xml:space="preserve">CONOPs </t>
  </si>
  <si>
    <t xml:space="preserve">Are applicable TSP, MOU, MOA or SLA between Mission Owners, customer responsibility matrix (CRM), Cloud Service Provider and Cybersecurity Service Provider attached? </t>
  </si>
  <si>
    <t xml:space="preserve">Is a Fielding Manual, Deployment Guide or similar artifact available that identifies the receiving unit responsibilities? </t>
  </si>
  <si>
    <t xml:space="preserve">Receiving inheritance from ' CCP' and inheritance  Tier1 CCP and Tier 2 CCP have been removed? </t>
  </si>
  <si>
    <t>Are all applicable inheritance relationships established ?</t>
  </si>
  <si>
    <t xml:space="preserve">Are there Controls/CCIs being inherited from the Enterprise Cloud CCP and additional provider(s)? Hybrid controls are acceptable. </t>
  </si>
  <si>
    <t xml:space="preserve">Are there any CCI's inherited that have a locally associated STIG? </t>
  </si>
  <si>
    <t>TECTIX SYSTEM ASSESSMENT CHECKLIST &amp; INSTRUCTIONS</t>
  </si>
  <si>
    <r>
      <rPr>
        <b/>
        <sz val="12"/>
        <color theme="1"/>
        <rFont val="Aptos"/>
        <family val="2"/>
      </rPr>
      <t>Purpose</t>
    </r>
    <r>
      <rPr>
        <sz val="12"/>
        <color theme="1"/>
        <rFont val="Aptos"/>
        <family val="2"/>
      </rPr>
      <t>: Provide a checklist with instructions to aid in reviewing system packages (A&amp;A, Assess Only, SP, POAM) in eMASS for discrepancies. Checks considered returnable for rework by TECTIX are identified. 
Checks also include references for additional guidance on where to make corrections.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</si>
</sst>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Aptos Narrow"/>
      <family val="2"/>
      <scheme val="minor"/>
    </font>
    <font>
      <sz val="11"/>
      <name val="Aptos Narrow"/>
      <family val="2"/>
      <scheme val="minor"/>
    </font>
    <font>
      <b/>
      <sz val="11"/>
      <color theme="1"/>
      <name val="Aptos Narrow"/>
      <family val="2"/>
      <scheme val="minor"/>
    </font>
    <font>
      <b/>
      <sz val="11"/>
      <color rgb="FF000000"/>
      <name val="Calibri"/>
      <family val="2"/>
    </font>
    <font>
      <i/>
      <sz val="11"/>
      <color theme="1"/>
      <name val="Aptos Narrow"/>
      <family val="2"/>
      <scheme val="minor"/>
    </font>
    <font>
      <sz val="11"/>
      <color rgb="FF000000"/>
      <name val="Calibri"/>
      <family val="2"/>
    </font>
    <font>
      <u/>
      <sz val="11"/>
      <color rgb="FF000000"/>
      <name val="Calibri"/>
      <family val="2"/>
    </font>
    <font>
      <sz val="11"/>
      <color rgb="FF000000"/>
      <name val="Aptos Narrow"/>
      <family val="2"/>
    </font>
    <font>
      <i/>
      <sz val="11"/>
      <color theme="1"/>
      <name val="Calibri"/>
      <family val="2"/>
    </font>
    <font>
      <b/>
      <i/>
      <sz val="11"/>
      <color theme="1"/>
      <name val="Aptos Narrow"/>
      <family val="2"/>
      <scheme val="minor"/>
    </font>
    <font>
      <b/>
      <sz val="11"/>
      <color rgb="FF000000"/>
      <name val="Aptos Narrow"/>
      <family val="2"/>
    </font>
    <font>
      <b/>
      <u/>
      <sz val="18"/>
      <color theme="1"/>
      <name val="Aptos Narrow"/>
      <family val="2"/>
      <scheme val="minor"/>
    </font>
    <font>
      <b/>
      <u/>
      <sz val="22"/>
      <color theme="1"/>
      <name val="Aptos Narrow"/>
      <family val="2"/>
      <scheme val="minor"/>
    </font>
    <font>
      <sz val="14"/>
      <color theme="1"/>
      <name val="Aptos Narrow"/>
      <family val="2"/>
      <scheme val="minor"/>
    </font>
    <font>
      <sz val="12"/>
      <color theme="1"/>
      <name val="Aptos"/>
      <family val="2"/>
    </font>
    <font>
      <b/>
      <sz val="12"/>
      <color theme="1"/>
      <name val="Aptos"/>
      <family val="2"/>
    </font>
    <font>
      <u/>
      <sz val="11"/>
      <color theme="10"/>
      <name val="Aptos Narrow"/>
      <family val="2"/>
      <scheme val="minor"/>
    </font>
    <font>
      <sz val="11"/>
      <color theme="1"/>
      <name val="Calibri"/>
      <family val="2"/>
    </font>
    <font>
      <sz val="11"/>
      <color theme="1"/>
      <name val="Aptos Narrow"/>
      <family val="2"/>
    </font>
    <font>
      <b/>
      <i/>
      <sz val="11"/>
      <color theme="1"/>
      <name val="Calibri"/>
      <family val="2"/>
    </font>
  </fonts>
  <fills count="9">
    <fill>
      <patternFill patternType="none"/>
    </fill>
    <fill>
      <patternFill patternType="gray125"/>
    </fill>
    <fill>
      <patternFill patternType="solid">
        <fgColor theme="3" tint="0.89999084444715716"/>
        <bgColor indexed="64"/>
      </patternFill>
    </fill>
    <fill>
      <patternFill patternType="solid">
        <fgColor theme="5"/>
        <bgColor indexed="64"/>
      </patternFill>
    </fill>
    <fill>
      <patternFill patternType="solid">
        <fgColor theme="0" tint="-0.249977111117893"/>
        <bgColor indexed="64"/>
      </patternFill>
    </fill>
    <fill>
      <patternFill patternType="solid">
        <fgColor rgb="FFDAE9F8"/>
        <bgColor rgb="FF000000"/>
      </patternFill>
    </fill>
    <fill>
      <patternFill patternType="solid">
        <fgColor theme="0" tint="-4.9989318521683403E-2"/>
        <bgColor indexed="64"/>
      </patternFill>
    </fill>
    <fill>
      <patternFill patternType="solid">
        <fgColor theme="0"/>
        <bgColor indexed="64"/>
      </patternFill>
    </fill>
    <fill>
      <patternFill patternType="solid">
        <fgColor rgb="FFF2F2F2"/>
        <bgColor rgb="FF000000"/>
      </patternFill>
    </fill>
  </fills>
  <borders count="35">
    <border>
      <left/>
      <right/>
      <top/>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auto="1"/>
      </left>
      <right/>
      <top style="thin">
        <color auto="1"/>
      </top>
      <bottom style="thin">
        <color auto="1"/>
      </bottom>
      <diagonal/>
    </border>
    <border>
      <left style="thin">
        <color indexed="64"/>
      </left>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thin">
        <color auto="1"/>
      </right>
      <top style="thin">
        <color auto="1"/>
      </top>
      <bottom style="thin">
        <color auto="1"/>
      </bottom>
      <diagonal/>
    </border>
    <border>
      <left style="medium">
        <color indexed="64"/>
      </left>
      <right/>
      <top/>
      <bottom/>
      <diagonal/>
    </border>
    <border>
      <left style="thin">
        <color indexed="64"/>
      </left>
      <right style="thin">
        <color auto="1"/>
      </right>
      <top style="thin">
        <color auto="1"/>
      </top>
      <bottom/>
      <diagonal/>
    </border>
    <border>
      <left style="thin">
        <color indexed="64"/>
      </left>
      <right style="thin">
        <color auto="1"/>
      </right>
      <top/>
      <bottom style="thin">
        <color auto="1"/>
      </bottom>
      <diagonal/>
    </border>
    <border>
      <left/>
      <right style="thin">
        <color auto="1"/>
      </right>
      <top style="thin">
        <color auto="1"/>
      </top>
      <bottom/>
      <diagonal/>
    </border>
    <border>
      <left style="thin">
        <color auto="1"/>
      </left>
      <right style="medium">
        <color auto="1"/>
      </right>
      <top style="thin">
        <color auto="1"/>
      </top>
      <bottom/>
      <diagonal/>
    </border>
    <border>
      <left style="thin">
        <color indexed="64"/>
      </left>
      <right style="thin">
        <color auto="1"/>
      </right>
      <top/>
      <bottom/>
      <diagonal/>
    </border>
    <border>
      <left/>
      <right style="medium">
        <color indexed="64"/>
      </right>
      <top/>
      <bottom/>
      <diagonal/>
    </border>
    <border>
      <left style="thin">
        <color auto="1"/>
      </left>
      <right/>
      <top style="thin">
        <color auto="1"/>
      </top>
      <bottom/>
      <diagonal/>
    </border>
    <border>
      <left/>
      <right/>
      <top/>
      <bottom style="thin">
        <color auto="1"/>
      </bottom>
      <diagonal/>
    </border>
    <border>
      <left/>
      <right style="thin">
        <color auto="1"/>
      </right>
      <top/>
      <bottom style="thin">
        <color auto="1"/>
      </bottom>
      <diagonal/>
    </border>
    <border>
      <left style="thin">
        <color auto="1"/>
      </left>
      <right style="medium">
        <color auto="1"/>
      </right>
      <top/>
      <bottom style="thin">
        <color auto="1"/>
      </bottom>
      <diagonal/>
    </border>
    <border>
      <left style="thin">
        <color auto="1"/>
      </left>
      <right style="medium">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s>
  <cellStyleXfs count="2">
    <xf numFmtId="0" fontId="0" fillId="0" borderId="0"/>
    <xf numFmtId="0" fontId="16" fillId="0" borderId="0" applyNumberFormat="0" applyFill="0" applyBorder="0" applyAlignment="0" applyProtection="0"/>
  </cellStyleXfs>
  <cellXfs count="134">
    <xf numFmtId="0" fontId="0" fillId="0" borderId="0" xfId="0"/>
    <xf numFmtId="0" fontId="1" fillId="0" borderId="0" xfId="0" applyFont="1"/>
    <xf numFmtId="0" fontId="2" fillId="0" borderId="0" xfId="0" applyFont="1" applyAlignment="1">
      <alignment horizontal="center" vertical="center" wrapText="1"/>
    </xf>
    <xf numFmtId="0" fontId="0" fillId="0" borderId="0" xfId="0" applyAlignment="1">
      <alignment wrapText="1"/>
    </xf>
    <xf numFmtId="0" fontId="0" fillId="0" borderId="0" xfId="0" applyAlignment="1">
      <alignment horizontal="center" vertical="top" wrapText="1"/>
    </xf>
    <xf numFmtId="0" fontId="0" fillId="0" borderId="0" xfId="0" applyAlignment="1">
      <alignment horizontal="center" vertical="center" wrapText="1"/>
    </xf>
    <xf numFmtId="0" fontId="0" fillId="0" borderId="0" xfId="0" applyAlignment="1">
      <alignment horizontal="left" vertical="top" wrapText="1"/>
    </xf>
    <xf numFmtId="49" fontId="0" fillId="6" borderId="1" xfId="0" quotePrefix="1" applyNumberFormat="1" applyFill="1" applyBorder="1" applyAlignment="1" applyProtection="1">
      <alignment horizontal="left" vertical="center" wrapText="1"/>
      <protection hidden="1"/>
    </xf>
    <xf numFmtId="0" fontId="5" fillId="2" borderId="1" xfId="0" applyFont="1" applyFill="1" applyBorder="1" applyAlignment="1">
      <alignment horizontal="center" vertical="center" wrapText="1"/>
    </xf>
    <xf numFmtId="0" fontId="5" fillId="2" borderId="1" xfId="0" applyFont="1" applyFill="1" applyBorder="1" applyAlignment="1">
      <alignment horizontal="left" vertical="top" wrapText="1"/>
    </xf>
    <xf numFmtId="0" fontId="5" fillId="2" borderId="3" xfId="0" applyFont="1" applyFill="1" applyBorder="1" applyAlignment="1">
      <alignment horizontal="left" vertical="top" wrapText="1"/>
    </xf>
    <xf numFmtId="0" fontId="6" fillId="2" borderId="1" xfId="0" applyFont="1" applyFill="1" applyBorder="1" applyAlignment="1">
      <alignment horizontal="left" vertical="top" wrapText="1"/>
    </xf>
    <xf numFmtId="9" fontId="0" fillId="0" borderId="3" xfId="0" applyNumberFormat="1" applyBorder="1" applyAlignment="1">
      <alignment horizontal="center" vertical="center" wrapText="1"/>
    </xf>
    <xf numFmtId="9" fontId="0" fillId="0" borderId="8" xfId="0" applyNumberFormat="1" applyBorder="1" applyAlignment="1">
      <alignment horizontal="center" vertical="center" wrapText="1"/>
    </xf>
    <xf numFmtId="0" fontId="0" fillId="0" borderId="5" xfId="0" applyBorder="1" applyAlignment="1">
      <alignment horizontal="centerContinuous" vertical="center" wrapText="1"/>
    </xf>
    <xf numFmtId="0" fontId="0" fillId="0" borderId="9" xfId="0" applyBorder="1" applyAlignment="1">
      <alignment horizontal="centerContinuous" vertical="center" wrapText="1"/>
    </xf>
    <xf numFmtId="0" fontId="0" fillId="0" borderId="1" xfId="0" applyBorder="1" applyAlignment="1">
      <alignment horizontal="center" vertical="center" wrapText="1"/>
    </xf>
    <xf numFmtId="0" fontId="0" fillId="0" borderId="10" xfId="0" applyBorder="1" applyAlignment="1">
      <alignment horizontal="center" vertical="center" wrapText="1"/>
    </xf>
    <xf numFmtId="0" fontId="0" fillId="0" borderId="9" xfId="0" applyBorder="1" applyAlignment="1">
      <alignment horizontal="centerContinuous"/>
    </xf>
    <xf numFmtId="0" fontId="0" fillId="0" borderId="6" xfId="0" applyBorder="1" applyAlignment="1">
      <alignment horizontal="centerContinuous"/>
    </xf>
    <xf numFmtId="0" fontId="0" fillId="0" borderId="2" xfId="0" applyBorder="1" applyAlignment="1">
      <alignment vertical="center" wrapText="1"/>
    </xf>
    <xf numFmtId="0" fontId="0" fillId="0" borderId="1" xfId="0" applyBorder="1" applyAlignment="1">
      <alignment horizontal="center"/>
    </xf>
    <xf numFmtId="0" fontId="0" fillId="0" borderId="3" xfId="0" applyBorder="1" applyAlignment="1">
      <alignment horizontal="center" vertical="center" wrapText="1"/>
    </xf>
    <xf numFmtId="0" fontId="0" fillId="0" borderId="1" xfId="0" applyBorder="1" applyAlignment="1">
      <alignment horizontal="center" vertical="center"/>
    </xf>
    <xf numFmtId="0" fontId="0" fillId="0" borderId="3" xfId="0" applyBorder="1" applyAlignment="1">
      <alignment horizontal="center" vertical="center"/>
    </xf>
    <xf numFmtId="0" fontId="0" fillId="0" borderId="10" xfId="0" applyBorder="1" applyAlignment="1">
      <alignment horizontal="center" vertical="center"/>
    </xf>
    <xf numFmtId="0" fontId="0" fillId="0" borderId="8" xfId="0" applyBorder="1" applyAlignment="1">
      <alignment horizontal="center" vertical="center"/>
    </xf>
    <xf numFmtId="0" fontId="0" fillId="0" borderId="2" xfId="0" applyBorder="1" applyAlignment="1">
      <alignment horizontal="left" vertical="center" wrapText="1"/>
    </xf>
    <xf numFmtId="0" fontId="0" fillId="0" borderId="4" xfId="0" applyBorder="1" applyAlignment="1">
      <alignment vertical="center" wrapText="1"/>
    </xf>
    <xf numFmtId="0" fontId="0" fillId="0" borderId="7" xfId="0" applyBorder="1" applyAlignment="1">
      <alignment horizontal="left" vertical="center" wrapText="1"/>
    </xf>
    <xf numFmtId="0" fontId="0" fillId="0" borderId="11" xfId="0" applyBorder="1" applyAlignment="1">
      <alignment horizontal="centerContinuous"/>
    </xf>
    <xf numFmtId="0" fontId="0" fillId="0" borderId="12" xfId="0" applyBorder="1" applyAlignment="1">
      <alignment horizontal="center"/>
    </xf>
    <xf numFmtId="0" fontId="0" fillId="0" borderId="12" xfId="0" applyBorder="1" applyAlignment="1">
      <alignment horizontal="center" vertical="center"/>
    </xf>
    <xf numFmtId="0" fontId="0" fillId="0" borderId="13" xfId="0" applyBorder="1" applyAlignment="1">
      <alignment horizontal="center" vertical="center"/>
    </xf>
    <xf numFmtId="0" fontId="3" fillId="2" borderId="1" xfId="0" applyFont="1" applyFill="1" applyBorder="1" applyAlignment="1">
      <alignment horizontal="center" vertical="center" wrapText="1"/>
    </xf>
    <xf numFmtId="49" fontId="0" fillId="6" borderId="1" xfId="0" quotePrefix="1" applyNumberFormat="1" applyFill="1" applyBorder="1" applyAlignment="1" applyProtection="1">
      <alignment horizontal="center" vertical="center" wrapText="1"/>
      <protection hidden="1"/>
    </xf>
    <xf numFmtId="0" fontId="5" fillId="2" borderId="1" xfId="0" applyFont="1" applyFill="1" applyBorder="1" applyAlignment="1">
      <alignment horizontal="left" vertical="center" wrapText="1"/>
    </xf>
    <xf numFmtId="1" fontId="5" fillId="2" borderId="1" xfId="0" applyNumberFormat="1" applyFont="1" applyFill="1" applyBorder="1" applyAlignment="1">
      <alignment horizontal="left" vertical="top" wrapText="1"/>
    </xf>
    <xf numFmtId="0" fontId="6" fillId="2" borderId="1" xfId="0" applyFont="1" applyFill="1" applyBorder="1" applyAlignment="1">
      <alignment horizontal="left" vertical="center" wrapText="1"/>
    </xf>
    <xf numFmtId="0" fontId="4" fillId="4" borderId="1" xfId="0" applyFont="1" applyFill="1" applyBorder="1" applyAlignment="1" applyProtection="1">
      <alignment horizontal="centerContinuous" vertical="center" wrapText="1"/>
      <protection hidden="1"/>
    </xf>
    <xf numFmtId="0" fontId="9" fillId="4" borderId="1" xfId="0" applyFont="1" applyFill="1" applyBorder="1" applyAlignment="1" applyProtection="1">
      <alignment horizontal="centerContinuous" vertical="center" wrapText="1"/>
      <protection hidden="1"/>
    </xf>
    <xf numFmtId="0" fontId="0" fillId="2" borderId="1" xfId="0" applyFill="1" applyBorder="1" applyAlignment="1">
      <alignment horizontal="left" vertical="top"/>
    </xf>
    <xf numFmtId="0" fontId="7" fillId="6" borderId="1" xfId="0" applyFont="1" applyFill="1" applyBorder="1" applyAlignment="1">
      <alignment horizontal="center" vertical="center" wrapText="1"/>
    </xf>
    <xf numFmtId="0" fontId="7" fillId="5" borderId="1" xfId="0" applyFont="1" applyFill="1" applyBorder="1" applyAlignment="1">
      <alignment vertical="center"/>
    </xf>
    <xf numFmtId="0" fontId="4" fillId="4" borderId="3" xfId="0" applyFont="1" applyFill="1" applyBorder="1" applyAlignment="1" applyProtection="1">
      <alignment horizontal="centerContinuous" vertical="center" wrapText="1"/>
      <protection hidden="1"/>
    </xf>
    <xf numFmtId="0" fontId="0" fillId="2" borderId="3" xfId="0" applyFill="1" applyBorder="1" applyAlignment="1">
      <alignment horizontal="left" vertical="top"/>
    </xf>
    <xf numFmtId="0" fontId="7" fillId="5" borderId="3" xfId="0" applyFont="1" applyFill="1" applyBorder="1" applyAlignment="1">
      <alignment vertical="center"/>
    </xf>
    <xf numFmtId="0" fontId="5" fillId="5" borderId="1" xfId="0" applyFont="1" applyFill="1" applyBorder="1" applyAlignment="1">
      <alignment horizontal="left" vertical="center" wrapText="1"/>
    </xf>
    <xf numFmtId="0" fontId="5" fillId="5" borderId="1" xfId="0" applyFont="1" applyFill="1" applyBorder="1" applyAlignment="1">
      <alignment horizontal="left" wrapText="1"/>
    </xf>
    <xf numFmtId="0" fontId="13" fillId="0" borderId="0" xfId="0" applyFont="1" applyAlignment="1">
      <alignment wrapText="1"/>
    </xf>
    <xf numFmtId="0" fontId="11" fillId="7" borderId="14" xfId="0" applyFont="1" applyFill="1" applyBorder="1" applyAlignment="1">
      <alignment horizontal="centerContinuous" wrapText="1"/>
    </xf>
    <xf numFmtId="0" fontId="12" fillId="7" borderId="15" xfId="0" applyFont="1" applyFill="1" applyBorder="1" applyAlignment="1">
      <alignment horizontal="centerContinuous" vertical="center" wrapText="1"/>
    </xf>
    <xf numFmtId="0" fontId="12" fillId="7" borderId="16" xfId="0" applyFont="1" applyFill="1" applyBorder="1" applyAlignment="1">
      <alignment horizontal="centerContinuous" vertical="top" wrapText="1"/>
    </xf>
    <xf numFmtId="0" fontId="4" fillId="4" borderId="17" xfId="0" applyFont="1" applyFill="1" applyBorder="1" applyAlignment="1" applyProtection="1">
      <alignment horizontal="centerContinuous" vertical="center" wrapText="1"/>
      <protection hidden="1"/>
    </xf>
    <xf numFmtId="0" fontId="4" fillId="4" borderId="0" xfId="0" applyFont="1" applyFill="1" applyAlignment="1" applyProtection="1">
      <alignment horizontal="centerContinuous" vertical="center" wrapText="1"/>
      <protection hidden="1"/>
    </xf>
    <xf numFmtId="0" fontId="10" fillId="6" borderId="1" xfId="0" applyFont="1" applyFill="1" applyBorder="1" applyAlignment="1">
      <alignment horizontal="left" vertical="center" wrapText="1"/>
    </xf>
    <xf numFmtId="0" fontId="10" fillId="6" borderId="20" xfId="0" applyFont="1" applyFill="1" applyBorder="1" applyAlignment="1">
      <alignment horizontal="left" vertical="center" wrapText="1"/>
    </xf>
    <xf numFmtId="0" fontId="4" fillId="4" borderId="21" xfId="0" applyFont="1" applyFill="1" applyBorder="1" applyAlignment="1" applyProtection="1">
      <alignment horizontal="centerContinuous" vertical="center" wrapText="1"/>
      <protection hidden="1"/>
    </xf>
    <xf numFmtId="0" fontId="4" fillId="4" borderId="19" xfId="0" applyFont="1" applyFill="1" applyBorder="1" applyAlignment="1" applyProtection="1">
      <alignment horizontal="centerContinuous" vertical="center" wrapText="1"/>
      <protection hidden="1"/>
    </xf>
    <xf numFmtId="0" fontId="9" fillId="4" borderId="19" xfId="0" applyFont="1" applyFill="1" applyBorder="1" applyAlignment="1" applyProtection="1">
      <alignment horizontal="centerContinuous" vertical="center" wrapText="1"/>
      <protection hidden="1"/>
    </xf>
    <xf numFmtId="0" fontId="4" fillId="4" borderId="22" xfId="0" applyFont="1" applyFill="1" applyBorder="1" applyAlignment="1" applyProtection="1">
      <alignment horizontal="centerContinuous" vertical="center" wrapText="1"/>
      <protection hidden="1"/>
    </xf>
    <xf numFmtId="0" fontId="4" fillId="4" borderId="12" xfId="0" applyFont="1" applyFill="1" applyBorder="1" applyAlignment="1" applyProtection="1">
      <alignment horizontal="centerContinuous" vertical="center" wrapText="1"/>
      <protection hidden="1"/>
    </xf>
    <xf numFmtId="0" fontId="16" fillId="4" borderId="18" xfId="1" applyFill="1" applyBorder="1"/>
    <xf numFmtId="0" fontId="16" fillId="6" borderId="18" xfId="1" applyFill="1" applyBorder="1" applyAlignment="1">
      <alignment vertical="center"/>
    </xf>
    <xf numFmtId="0" fontId="16" fillId="6" borderId="1" xfId="1" applyFill="1" applyBorder="1" applyAlignment="1">
      <alignment vertical="center"/>
    </xf>
    <xf numFmtId="0" fontId="16" fillId="6" borderId="1" xfId="1" applyFill="1" applyBorder="1"/>
    <xf numFmtId="0" fontId="16" fillId="0" borderId="1" xfId="1" applyBorder="1" applyAlignment="1">
      <alignment vertical="center"/>
    </xf>
    <xf numFmtId="0" fontId="16" fillId="6" borderId="20" xfId="1" applyFill="1" applyBorder="1" applyAlignment="1">
      <alignment vertical="center"/>
    </xf>
    <xf numFmtId="49" fontId="0" fillId="6" borderId="20" xfId="0" quotePrefix="1" applyNumberFormat="1" applyFill="1" applyBorder="1" applyAlignment="1" applyProtection="1">
      <alignment horizontal="left" vertical="center" wrapText="1"/>
      <protection hidden="1"/>
    </xf>
    <xf numFmtId="0" fontId="16" fillId="6" borderId="19" xfId="1" applyFill="1" applyBorder="1" applyAlignment="1">
      <alignment vertical="center"/>
    </xf>
    <xf numFmtId="49" fontId="0" fillId="6" borderId="19" xfId="0" quotePrefix="1" applyNumberFormat="1" applyFill="1" applyBorder="1" applyAlignment="1" applyProtection="1">
      <alignment horizontal="left" vertical="center" wrapText="1"/>
      <protection hidden="1"/>
    </xf>
    <xf numFmtId="0" fontId="16" fillId="6" borderId="23" xfId="1" applyFill="1" applyBorder="1" applyAlignment="1">
      <alignment vertical="center"/>
    </xf>
    <xf numFmtId="49" fontId="0" fillId="6" borderId="23" xfId="0" quotePrefix="1" applyNumberFormat="1" applyFill="1" applyBorder="1" applyAlignment="1" applyProtection="1">
      <alignment horizontal="left" vertical="center" wrapText="1"/>
      <protection hidden="1"/>
    </xf>
    <xf numFmtId="0" fontId="16" fillId="4" borderId="12" xfId="1" applyFill="1" applyBorder="1"/>
    <xf numFmtId="0" fontId="16" fillId="0" borderId="20" xfId="1" applyBorder="1" applyAlignment="1">
      <alignment vertical="center"/>
    </xf>
    <xf numFmtId="0" fontId="16" fillId="0" borderId="19" xfId="1" applyBorder="1" applyAlignment="1">
      <alignment vertical="center"/>
    </xf>
    <xf numFmtId="0" fontId="16" fillId="4" borderId="12" xfId="1" applyFill="1" applyBorder="1" applyAlignment="1">
      <alignment vertical="center"/>
    </xf>
    <xf numFmtId="0" fontId="14" fillId="0" borderId="18" xfId="0" applyFont="1" applyBorder="1" applyAlignment="1">
      <alignment horizontal="centerContinuous" vertical="center" wrapText="1"/>
    </xf>
    <xf numFmtId="0" fontId="13" fillId="7" borderId="0" xfId="0" applyFont="1" applyFill="1" applyAlignment="1">
      <alignment horizontal="centerContinuous" vertical="center" wrapText="1"/>
    </xf>
    <xf numFmtId="0" fontId="13" fillId="7" borderId="24" xfId="0" applyFont="1" applyFill="1" applyBorder="1" applyAlignment="1">
      <alignment horizontal="centerContinuous" vertical="top" wrapText="1"/>
    </xf>
    <xf numFmtId="49" fontId="0" fillId="6" borderId="19" xfId="0" quotePrefix="1" applyNumberFormat="1" applyFill="1" applyBorder="1" applyAlignment="1" applyProtection="1">
      <alignment horizontal="center" vertical="center" wrapText="1"/>
      <protection hidden="1"/>
    </xf>
    <xf numFmtId="0" fontId="3" fillId="2" borderId="19" xfId="0" applyFont="1" applyFill="1" applyBorder="1" applyAlignment="1">
      <alignment horizontal="center" vertical="center" wrapText="1"/>
    </xf>
    <xf numFmtId="0" fontId="5" fillId="2" borderId="19" xfId="0" applyFont="1" applyFill="1" applyBorder="1" applyAlignment="1">
      <alignment horizontal="left" vertical="center" wrapText="1"/>
    </xf>
    <xf numFmtId="0" fontId="5" fillId="2" borderId="19" xfId="0" applyFont="1" applyFill="1" applyBorder="1" applyAlignment="1">
      <alignment horizontal="left" vertical="top" wrapText="1"/>
    </xf>
    <xf numFmtId="0" fontId="5" fillId="2" borderId="19" xfId="0" applyFont="1" applyFill="1" applyBorder="1" applyAlignment="1">
      <alignment horizontal="center" vertical="center" wrapText="1"/>
    </xf>
    <xf numFmtId="0" fontId="5" fillId="2" borderId="22" xfId="0" applyFont="1" applyFill="1" applyBorder="1" applyAlignment="1">
      <alignment horizontal="left" vertical="top" wrapText="1"/>
    </xf>
    <xf numFmtId="0" fontId="4" fillId="4" borderId="25" xfId="0" applyFont="1" applyFill="1" applyBorder="1" applyAlignment="1" applyProtection="1">
      <alignment horizontal="centerContinuous" vertical="center" wrapText="1"/>
      <protection hidden="1"/>
    </xf>
    <xf numFmtId="0" fontId="0" fillId="2" borderId="19" xfId="0" applyFill="1" applyBorder="1" applyAlignment="1">
      <alignment horizontal="left" vertical="center" wrapText="1"/>
    </xf>
    <xf numFmtId="0" fontId="0" fillId="2" borderId="19" xfId="0" applyFill="1" applyBorder="1" applyAlignment="1">
      <alignment horizontal="left" vertical="top" wrapText="1"/>
    </xf>
    <xf numFmtId="0" fontId="0" fillId="2" borderId="22" xfId="0" applyFill="1" applyBorder="1" applyAlignment="1">
      <alignment horizontal="left" vertical="top" wrapText="1"/>
    </xf>
    <xf numFmtId="0" fontId="16" fillId="4" borderId="25" xfId="1" applyFill="1" applyBorder="1"/>
    <xf numFmtId="0" fontId="4" fillId="4" borderId="26" xfId="0" applyFont="1" applyFill="1" applyBorder="1" applyAlignment="1" applyProtection="1">
      <alignment horizontal="centerContinuous" vertical="center" wrapText="1"/>
      <protection hidden="1"/>
    </xf>
    <xf numFmtId="0" fontId="4" fillId="4" borderId="27" xfId="0" applyFont="1" applyFill="1" applyBorder="1" applyAlignment="1" applyProtection="1">
      <alignment horizontal="centerContinuous" vertical="center" wrapText="1"/>
      <protection hidden="1"/>
    </xf>
    <xf numFmtId="0" fontId="4" fillId="4" borderId="20" xfId="0" applyFont="1" applyFill="1" applyBorder="1" applyAlignment="1" applyProtection="1">
      <alignment horizontal="centerContinuous" vertical="center" wrapText="1"/>
      <protection hidden="1"/>
    </xf>
    <xf numFmtId="0" fontId="9" fillId="4" borderId="20" xfId="0" applyFont="1" applyFill="1" applyBorder="1" applyAlignment="1" applyProtection="1">
      <alignment horizontal="centerContinuous" vertical="center" wrapText="1"/>
      <protection hidden="1"/>
    </xf>
    <xf numFmtId="0" fontId="4" fillId="4" borderId="28" xfId="0" applyFont="1" applyFill="1" applyBorder="1" applyAlignment="1" applyProtection="1">
      <alignment horizontal="centerContinuous" vertical="center" wrapText="1"/>
      <protection hidden="1"/>
    </xf>
    <xf numFmtId="49" fontId="0" fillId="6" borderId="23" xfId="0" quotePrefix="1" applyNumberFormat="1" applyFill="1" applyBorder="1" applyAlignment="1" applyProtection="1">
      <alignment horizontal="center" vertical="center" wrapText="1"/>
      <protection hidden="1"/>
    </xf>
    <xf numFmtId="0" fontId="5" fillId="2" borderId="23" xfId="0" applyFont="1" applyFill="1" applyBorder="1" applyAlignment="1">
      <alignment horizontal="left" vertical="center" wrapText="1"/>
    </xf>
    <xf numFmtId="0" fontId="5" fillId="2" borderId="23" xfId="0" applyFont="1" applyFill="1" applyBorder="1" applyAlignment="1">
      <alignment horizontal="left" vertical="top" wrapText="1"/>
    </xf>
    <xf numFmtId="0" fontId="5" fillId="2" borderId="23" xfId="0" applyFont="1" applyFill="1" applyBorder="1" applyAlignment="1">
      <alignment horizontal="center" vertical="center" wrapText="1"/>
    </xf>
    <xf numFmtId="0" fontId="5" fillId="2" borderId="29" xfId="0" applyFont="1" applyFill="1" applyBorder="1" applyAlignment="1">
      <alignment horizontal="left" vertical="top" wrapText="1"/>
    </xf>
    <xf numFmtId="49" fontId="0" fillId="6" borderId="20" xfId="0" quotePrefix="1" applyNumberFormat="1" applyFill="1" applyBorder="1" applyAlignment="1" applyProtection="1">
      <alignment horizontal="center" vertical="center" wrapText="1"/>
      <protection hidden="1"/>
    </xf>
    <xf numFmtId="0" fontId="5" fillId="2" borderId="20" xfId="0" applyFont="1" applyFill="1" applyBorder="1" applyAlignment="1">
      <alignment horizontal="left" vertical="center" wrapText="1"/>
    </xf>
    <xf numFmtId="0" fontId="5" fillId="2" borderId="20" xfId="0" applyFont="1" applyFill="1" applyBorder="1" applyAlignment="1">
      <alignment horizontal="left" vertical="top" wrapText="1"/>
    </xf>
    <xf numFmtId="0" fontId="5" fillId="2" borderId="20" xfId="0" applyFont="1" applyFill="1" applyBorder="1" applyAlignment="1">
      <alignment horizontal="center" vertical="center" wrapText="1"/>
    </xf>
    <xf numFmtId="0" fontId="5" fillId="2" borderId="28" xfId="0" applyFont="1" applyFill="1" applyBorder="1" applyAlignment="1">
      <alignment horizontal="left" vertical="top" wrapText="1"/>
    </xf>
    <xf numFmtId="0" fontId="4" fillId="4" borderId="30" xfId="0" applyFont="1" applyFill="1" applyBorder="1" applyAlignment="1" applyProtection="1">
      <alignment horizontal="centerContinuous" vertical="center" wrapText="1"/>
      <protection hidden="1"/>
    </xf>
    <xf numFmtId="0" fontId="4" fillId="4" borderId="31" xfId="0" applyFont="1" applyFill="1" applyBorder="1" applyAlignment="1" applyProtection="1">
      <alignment horizontal="centerContinuous" vertical="center" wrapText="1"/>
      <protection hidden="1"/>
    </xf>
    <xf numFmtId="0" fontId="4" fillId="4" borderId="23" xfId="0" applyFont="1" applyFill="1" applyBorder="1" applyAlignment="1" applyProtection="1">
      <alignment horizontal="centerContinuous" vertical="center" wrapText="1"/>
      <protection hidden="1"/>
    </xf>
    <xf numFmtId="0" fontId="9" fillId="4" borderId="23" xfId="0" applyFont="1" applyFill="1" applyBorder="1" applyAlignment="1" applyProtection="1">
      <alignment horizontal="centerContinuous" vertical="center" wrapText="1"/>
      <protection hidden="1"/>
    </xf>
    <xf numFmtId="0" fontId="4" fillId="4" borderId="29" xfId="0" applyFont="1" applyFill="1" applyBorder="1" applyAlignment="1" applyProtection="1">
      <alignment horizontal="centerContinuous" vertical="center" wrapText="1"/>
      <protection hidden="1"/>
    </xf>
    <xf numFmtId="0" fontId="4" fillId="4" borderId="32" xfId="0" applyFont="1" applyFill="1" applyBorder="1" applyAlignment="1" applyProtection="1">
      <alignment horizontal="centerContinuous" vertical="center" wrapText="1"/>
      <protection hidden="1"/>
    </xf>
    <xf numFmtId="0" fontId="16" fillId="4" borderId="32" xfId="1" applyFill="1" applyBorder="1"/>
    <xf numFmtId="0" fontId="16" fillId="4" borderId="30" xfId="1" applyFill="1" applyBorder="1"/>
    <xf numFmtId="0" fontId="10" fillId="6" borderId="23" xfId="0" applyFont="1" applyFill="1" applyBorder="1" applyAlignment="1">
      <alignment horizontal="left" vertical="center" wrapText="1"/>
    </xf>
    <xf numFmtId="0" fontId="2" fillId="3" borderId="1" xfId="0" applyFont="1" applyFill="1" applyBorder="1" applyAlignment="1">
      <alignment horizontal="center" vertical="center"/>
    </xf>
    <xf numFmtId="0" fontId="2" fillId="3"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7" fillId="5" borderId="1" xfId="0" applyFont="1" applyFill="1" applyBorder="1"/>
    <xf numFmtId="0" fontId="5" fillId="5" borderId="1" xfId="0" applyFont="1" applyFill="1" applyBorder="1" applyAlignment="1">
      <alignment wrapText="1"/>
    </xf>
    <xf numFmtId="0" fontId="0" fillId="2" borderId="25" xfId="0" applyFill="1" applyBorder="1" applyAlignment="1">
      <alignment horizontal="left" vertical="top" wrapText="1"/>
    </xf>
    <xf numFmtId="0" fontId="16" fillId="6" borderId="33" xfId="1" applyFill="1" applyBorder="1" applyAlignment="1">
      <alignment vertical="center"/>
    </xf>
    <xf numFmtId="49" fontId="0" fillId="6" borderId="33" xfId="0" quotePrefix="1" applyNumberFormat="1" applyFill="1" applyBorder="1" applyAlignment="1" applyProtection="1">
      <alignment horizontal="left" vertical="center" wrapText="1"/>
      <protection hidden="1"/>
    </xf>
    <xf numFmtId="0" fontId="7" fillId="6" borderId="20" xfId="0" applyFont="1" applyFill="1" applyBorder="1" applyAlignment="1">
      <alignment horizontal="center" vertical="center" wrapText="1"/>
    </xf>
    <xf numFmtId="49" fontId="0" fillId="6" borderId="34" xfId="0" quotePrefix="1" applyNumberFormat="1" applyFill="1" applyBorder="1" applyAlignment="1" applyProtection="1">
      <alignment horizontal="center" vertical="center" wrapText="1"/>
      <protection hidden="1"/>
    </xf>
    <xf numFmtId="0" fontId="3" fillId="2" borderId="17" xfId="0" applyFont="1" applyFill="1" applyBorder="1" applyAlignment="1">
      <alignment horizontal="center" vertical="center" wrapText="1"/>
    </xf>
    <xf numFmtId="49" fontId="0" fillId="0" borderId="33" xfId="0" quotePrefix="1" applyNumberFormat="1" applyBorder="1" applyAlignment="1" applyProtection="1">
      <alignment horizontal="left" vertical="center" wrapText="1"/>
      <protection hidden="1"/>
    </xf>
    <xf numFmtId="0" fontId="17" fillId="2" borderId="1" xfId="0" applyFont="1" applyFill="1" applyBorder="1" applyAlignment="1">
      <alignment horizontal="left" vertical="top" wrapText="1"/>
    </xf>
    <xf numFmtId="0" fontId="18" fillId="8" borderId="1" xfId="0" quotePrefix="1" applyFont="1" applyFill="1" applyBorder="1" applyAlignment="1">
      <alignment vertical="center" wrapText="1"/>
    </xf>
    <xf numFmtId="0" fontId="18" fillId="6" borderId="1" xfId="0" applyFont="1" applyFill="1" applyBorder="1" applyAlignment="1">
      <alignment vertical="center" wrapText="1"/>
    </xf>
    <xf numFmtId="0" fontId="18" fillId="6" borderId="20" xfId="0" applyFont="1" applyFill="1" applyBorder="1" applyAlignment="1">
      <alignment vertical="center" wrapText="1"/>
    </xf>
    <xf numFmtId="0" fontId="0" fillId="6" borderId="1" xfId="1" applyFont="1" applyFill="1" applyBorder="1" applyAlignment="1">
      <alignment vertical="center" wrapText="1"/>
    </xf>
    <xf numFmtId="0" fontId="14" fillId="0" borderId="26" xfId="0" applyFont="1" applyBorder="1" applyAlignment="1">
      <alignment horizontal="center" vertical="center" wrapText="1"/>
    </xf>
    <xf numFmtId="0" fontId="11" fillId="7" borderId="15" xfId="0" applyFont="1" applyFill="1" applyBorder="1" applyAlignment="1">
      <alignment horizontal="center" wrapText="1"/>
    </xf>
  </cellXfs>
  <cellStyles count="2">
    <cellStyle name="Hyperlink" xfId="1" builtinId="8"/>
    <cellStyle name="Normal" xfId="0" builtinId="0"/>
  </cellStyles>
  <dxfs count="164">
    <dxf>
      <font>
        <color theme="2" tint="-0.499984740745262"/>
      </font>
    </dxf>
    <dxf>
      <font>
        <color theme="8" tint="0.39994506668294322"/>
      </font>
    </dxf>
    <dxf>
      <font>
        <color rgb="FFFF0000"/>
      </font>
    </dxf>
    <dxf>
      <font>
        <color rgb="FF00B050"/>
      </font>
    </dxf>
    <dxf>
      <font>
        <color rgb="FF00B050"/>
      </font>
    </dxf>
    <dxf>
      <font>
        <color rgb="FFFF0000"/>
      </font>
    </dxf>
    <dxf>
      <font>
        <color theme="8" tint="0.39994506668294322"/>
      </font>
    </dxf>
    <dxf>
      <font>
        <color theme="2" tint="-0.499984740745262"/>
      </font>
    </dxf>
    <dxf>
      <font>
        <color theme="2" tint="-0.499984740745262"/>
      </font>
    </dxf>
    <dxf>
      <font>
        <color rgb="FF00B050"/>
      </font>
    </dxf>
    <dxf>
      <font>
        <color rgb="FFFF0000"/>
      </font>
    </dxf>
    <dxf>
      <font>
        <color theme="8" tint="0.39994506668294322"/>
      </font>
    </dxf>
    <dxf>
      <font>
        <color rgb="FF00B050"/>
      </font>
    </dxf>
    <dxf>
      <font>
        <color rgb="FFFF0000"/>
      </font>
    </dxf>
    <dxf>
      <font>
        <color theme="2" tint="-0.499984740745262"/>
      </font>
    </dxf>
    <dxf>
      <font>
        <color theme="8" tint="0.39994506668294322"/>
      </font>
    </dxf>
    <dxf>
      <font>
        <color rgb="FF00B050"/>
      </font>
    </dxf>
    <dxf>
      <font>
        <color theme="8" tint="0.39994506668294322"/>
      </font>
    </dxf>
    <dxf>
      <font>
        <color rgb="FFFF0000"/>
      </font>
    </dxf>
    <dxf>
      <font>
        <color theme="2" tint="-0.499984740745262"/>
      </font>
    </dxf>
    <dxf>
      <font>
        <color rgb="FF00B050"/>
      </font>
    </dxf>
    <dxf>
      <font>
        <color rgb="FFFF0000"/>
      </font>
    </dxf>
    <dxf>
      <font>
        <color theme="8" tint="0.39994506668294322"/>
      </font>
    </dxf>
    <dxf>
      <font>
        <color theme="2" tint="-0.499984740745262"/>
      </font>
    </dxf>
    <dxf>
      <font>
        <color theme="2" tint="-0.499984740745262"/>
      </font>
    </dxf>
    <dxf>
      <font>
        <color theme="8" tint="0.39994506668294322"/>
      </font>
    </dxf>
    <dxf>
      <font>
        <color rgb="FFFF0000"/>
      </font>
    </dxf>
    <dxf>
      <font>
        <color rgb="FF00B050"/>
      </font>
    </dxf>
    <dxf>
      <font>
        <color rgb="FF00B050"/>
      </font>
    </dxf>
    <dxf>
      <font>
        <color theme="2" tint="-0.499984740745262"/>
      </font>
    </dxf>
    <dxf>
      <font>
        <color theme="8" tint="0.39994506668294322"/>
      </font>
    </dxf>
    <dxf>
      <font>
        <color rgb="FFFF0000"/>
      </font>
    </dxf>
    <dxf>
      <font>
        <color rgb="FF00B050"/>
      </font>
    </dxf>
    <dxf>
      <font>
        <color rgb="FFFF0000"/>
      </font>
    </dxf>
    <dxf>
      <font>
        <color theme="8" tint="0.39994506668294322"/>
      </font>
    </dxf>
    <dxf>
      <font>
        <color theme="2" tint="-0.499984740745262"/>
      </font>
    </dxf>
    <dxf>
      <font>
        <color rgb="FFFF0000"/>
      </font>
    </dxf>
    <dxf>
      <font>
        <color theme="8" tint="0.39994506668294322"/>
      </font>
    </dxf>
    <dxf>
      <font>
        <color theme="2" tint="-0.499984740745262"/>
      </font>
    </dxf>
    <dxf>
      <font>
        <color rgb="FF00B050"/>
      </font>
    </dxf>
    <dxf>
      <font>
        <color rgb="FF00B050"/>
      </font>
    </dxf>
    <dxf>
      <font>
        <color rgb="FFFF0000"/>
      </font>
    </dxf>
    <dxf>
      <font>
        <color theme="8" tint="0.39994506668294322"/>
      </font>
    </dxf>
    <dxf>
      <font>
        <color theme="2" tint="-0.499984740745262"/>
      </font>
    </dxf>
    <dxf>
      <font>
        <color theme="2" tint="-0.499984740745262"/>
      </font>
    </dxf>
    <dxf>
      <font>
        <color rgb="FF00B050"/>
      </font>
    </dxf>
    <dxf>
      <font>
        <color rgb="FFFF0000"/>
      </font>
    </dxf>
    <dxf>
      <font>
        <color theme="8" tint="0.39994506668294322"/>
      </font>
    </dxf>
    <dxf>
      <font>
        <color rgb="FF00B050"/>
      </font>
    </dxf>
    <dxf>
      <font>
        <color theme="8" tint="0.39994506668294322"/>
      </font>
    </dxf>
    <dxf>
      <font>
        <color theme="2" tint="-0.499984740745262"/>
      </font>
    </dxf>
    <dxf>
      <font>
        <color rgb="FFFF0000"/>
      </font>
    </dxf>
    <dxf>
      <font>
        <color theme="2" tint="-0.499984740745262"/>
      </font>
    </dxf>
    <dxf>
      <font>
        <color rgb="FFFF0000"/>
      </font>
    </dxf>
    <dxf>
      <font>
        <color rgb="FF00B050"/>
      </font>
    </dxf>
    <dxf>
      <font>
        <color theme="8" tint="0.39994506668294322"/>
      </font>
    </dxf>
    <dxf>
      <font>
        <color theme="2" tint="-0.499984740745262"/>
      </font>
    </dxf>
    <dxf>
      <font>
        <color rgb="FF00B050"/>
      </font>
    </dxf>
    <dxf>
      <font>
        <color rgb="FFFF0000"/>
      </font>
    </dxf>
    <dxf>
      <font>
        <color theme="8" tint="0.39994506668294322"/>
      </font>
    </dxf>
    <dxf>
      <font>
        <color rgb="FF00B050"/>
      </font>
    </dxf>
    <dxf>
      <font>
        <color rgb="FFFF0000"/>
      </font>
    </dxf>
    <dxf>
      <font>
        <color theme="8" tint="0.39994506668294322"/>
      </font>
    </dxf>
    <dxf>
      <font>
        <color theme="2" tint="-0.499984740745262"/>
      </font>
    </dxf>
    <dxf>
      <font>
        <color rgb="FFFF0000"/>
      </font>
    </dxf>
    <dxf>
      <font>
        <color rgb="FF00B050"/>
      </font>
    </dxf>
    <dxf>
      <font>
        <color theme="8" tint="0.39994506668294322"/>
      </font>
    </dxf>
    <dxf>
      <font>
        <color theme="2" tint="-0.499984740745262"/>
      </font>
    </dxf>
    <dxf>
      <font>
        <color rgb="FF00B050"/>
      </font>
    </dxf>
    <dxf>
      <font>
        <color theme="8" tint="0.39994506668294322"/>
      </font>
    </dxf>
    <dxf>
      <font>
        <color rgb="FFFF0000"/>
      </font>
    </dxf>
    <dxf>
      <font>
        <color theme="2" tint="-0.499984740745262"/>
      </font>
    </dxf>
    <dxf>
      <font>
        <color theme="2" tint="-0.499984740745262"/>
      </font>
    </dxf>
    <dxf>
      <font>
        <color rgb="FF00B050"/>
      </font>
    </dxf>
    <dxf>
      <font>
        <color rgb="FFFF0000"/>
      </font>
    </dxf>
    <dxf>
      <font>
        <color theme="8" tint="0.39994506668294322"/>
      </font>
    </dxf>
    <dxf>
      <font>
        <color rgb="FF00B050"/>
      </font>
    </dxf>
    <dxf>
      <font>
        <color rgb="FFFF0000"/>
      </font>
    </dxf>
    <dxf>
      <font>
        <color theme="8" tint="0.39994506668294322"/>
      </font>
    </dxf>
    <dxf>
      <font>
        <color theme="2" tint="-0.499984740745262"/>
      </font>
    </dxf>
    <dxf>
      <font>
        <color rgb="FF00B050"/>
      </font>
    </dxf>
    <dxf>
      <font>
        <color theme="8" tint="0.39994506668294322"/>
      </font>
    </dxf>
    <dxf>
      <font>
        <color rgb="FFFF0000"/>
      </font>
    </dxf>
    <dxf>
      <font>
        <color theme="2" tint="-0.499984740745262"/>
      </font>
    </dxf>
    <dxf>
      <font>
        <color theme="8" tint="0.39994506668294322"/>
      </font>
    </dxf>
    <dxf>
      <font>
        <color rgb="FFFF0000"/>
      </font>
    </dxf>
    <dxf>
      <font>
        <color rgb="FF00B050"/>
      </font>
    </dxf>
    <dxf>
      <font>
        <color theme="2" tint="-0.499984740745262"/>
      </font>
    </dxf>
    <dxf>
      <font>
        <color rgb="FF00B050"/>
      </font>
    </dxf>
    <dxf>
      <font>
        <color theme="8" tint="0.39994506668294322"/>
      </font>
    </dxf>
    <dxf>
      <font>
        <color theme="2" tint="-0.499984740745262"/>
      </font>
    </dxf>
    <dxf>
      <font>
        <color rgb="FFFF0000"/>
      </font>
    </dxf>
    <dxf>
      <font>
        <color theme="2" tint="-0.499984740745262"/>
      </font>
    </dxf>
    <dxf>
      <font>
        <color rgb="FF00B050"/>
      </font>
    </dxf>
    <dxf>
      <font>
        <color rgb="FFFF0000"/>
      </font>
    </dxf>
    <dxf>
      <font>
        <color theme="8" tint="0.39994506668294322"/>
      </font>
    </dxf>
    <dxf>
      <font>
        <color theme="2" tint="-0.499984740745262"/>
      </font>
    </dxf>
    <dxf>
      <font>
        <color rgb="FF00B050"/>
      </font>
    </dxf>
    <dxf>
      <font>
        <color rgb="FFFF0000"/>
      </font>
    </dxf>
    <dxf>
      <font>
        <color theme="8" tint="0.39994506668294322"/>
      </font>
    </dxf>
    <dxf>
      <font>
        <color theme="8" tint="0.39994506668294322"/>
      </font>
    </dxf>
    <dxf>
      <font>
        <color rgb="FFFF0000"/>
      </font>
    </dxf>
    <dxf>
      <font>
        <color rgb="FF00B050"/>
      </font>
    </dxf>
    <dxf>
      <font>
        <color theme="2" tint="-0.499984740745262"/>
      </font>
    </dxf>
    <dxf>
      <font>
        <color rgb="FF00B050"/>
      </font>
    </dxf>
    <dxf>
      <font>
        <color rgb="FFFF0000"/>
      </font>
    </dxf>
    <dxf>
      <font>
        <color theme="2" tint="-0.499984740745262"/>
      </font>
    </dxf>
    <dxf>
      <font>
        <color theme="8" tint="0.39994506668294322"/>
      </font>
    </dxf>
    <dxf>
      <font>
        <color rgb="FF00B050"/>
      </font>
    </dxf>
    <dxf>
      <font>
        <color rgb="FFFF0000"/>
      </font>
    </dxf>
    <dxf>
      <font>
        <color theme="8" tint="0.39994506668294322"/>
      </font>
    </dxf>
    <dxf>
      <font>
        <color theme="2" tint="-0.499984740745262"/>
      </font>
    </dxf>
    <dxf>
      <font>
        <color theme="2" tint="-0.499984740745262"/>
      </font>
    </dxf>
    <dxf>
      <font>
        <color theme="8" tint="0.39994506668294322"/>
      </font>
    </dxf>
    <dxf>
      <font>
        <color rgb="FFFF0000"/>
      </font>
    </dxf>
    <dxf>
      <font>
        <color rgb="FF00B050"/>
      </font>
    </dxf>
    <dxf>
      <font>
        <color rgb="FF00B050"/>
      </font>
    </dxf>
    <dxf>
      <font>
        <color rgb="FFFF0000"/>
      </font>
    </dxf>
    <dxf>
      <font>
        <color theme="8" tint="0.39994506668294322"/>
      </font>
    </dxf>
    <dxf>
      <font>
        <color theme="2" tint="-0.499984740745262"/>
      </font>
    </dxf>
    <dxf>
      <font>
        <color theme="2" tint="-0.499984740745262"/>
      </font>
    </dxf>
    <dxf>
      <font>
        <color rgb="FF00B050"/>
      </font>
    </dxf>
    <dxf>
      <font>
        <color rgb="FFFF0000"/>
      </font>
    </dxf>
    <dxf>
      <font>
        <color theme="8" tint="0.39994506668294322"/>
      </font>
    </dxf>
    <dxf>
      <font>
        <color rgb="FF00B050"/>
      </font>
    </dxf>
    <dxf>
      <font>
        <color rgb="FFFF0000"/>
      </font>
    </dxf>
    <dxf>
      <font>
        <color theme="8" tint="0.39994506668294322"/>
      </font>
    </dxf>
    <dxf>
      <font>
        <color theme="2" tint="-0.499984740745262"/>
      </font>
    </dxf>
    <dxf>
      <font>
        <color theme="2" tint="-0.499984740745262"/>
      </font>
    </dxf>
    <dxf>
      <font>
        <color rgb="FFFF0000"/>
      </font>
    </dxf>
    <dxf>
      <font>
        <color rgb="FF00B050"/>
      </font>
    </dxf>
    <dxf>
      <font>
        <color theme="8" tint="0.39994506668294322"/>
      </font>
    </dxf>
    <dxf>
      <font>
        <color rgb="FFFF0000"/>
      </font>
    </dxf>
    <dxf>
      <font>
        <color theme="2" tint="-0.499984740745262"/>
      </font>
    </dxf>
    <dxf>
      <font>
        <color theme="8" tint="0.39994506668294322"/>
      </font>
    </dxf>
    <dxf>
      <font>
        <color rgb="FF00B050"/>
      </font>
    </dxf>
    <dxf>
      <font>
        <color rgb="FFFF0000"/>
      </font>
    </dxf>
    <dxf>
      <font>
        <color theme="2" tint="-0.499984740745262"/>
      </font>
    </dxf>
    <dxf>
      <font>
        <color theme="8" tint="0.39994506668294322"/>
      </font>
    </dxf>
    <dxf>
      <font>
        <color rgb="FF00B050"/>
      </font>
    </dxf>
    <dxf>
      <font>
        <color theme="2" tint="-0.499984740745262"/>
      </font>
    </dxf>
    <dxf>
      <font>
        <color rgb="FFFF0000"/>
      </font>
    </dxf>
    <dxf>
      <font>
        <color rgb="FF00B050"/>
      </font>
    </dxf>
    <dxf>
      <font>
        <color theme="8" tint="0.39994506668294322"/>
      </font>
    </dxf>
    <dxf>
      <font>
        <color theme="8" tint="0.39994506668294322"/>
      </font>
    </dxf>
    <dxf>
      <font>
        <color rgb="FFFF0000"/>
      </font>
    </dxf>
    <dxf>
      <font>
        <color theme="2" tint="-0.499984740745262"/>
      </font>
    </dxf>
    <dxf>
      <font>
        <color rgb="FF00B050"/>
      </font>
    </dxf>
    <dxf>
      <font>
        <color rgb="FF00B050"/>
      </font>
    </dxf>
    <dxf>
      <font>
        <color theme="8" tint="0.39994506668294322"/>
      </font>
    </dxf>
    <dxf>
      <font>
        <color rgb="FFFF0000"/>
      </font>
    </dxf>
    <dxf>
      <font>
        <color theme="2" tint="-0.499984740745262"/>
      </font>
    </dxf>
    <dxf>
      <font>
        <color rgb="FF990033"/>
      </font>
      <fill>
        <patternFill>
          <bgColor rgb="FFEABD00"/>
        </patternFill>
      </fill>
    </dxf>
    <dxf>
      <fill>
        <patternFill>
          <bgColor rgb="FFCCFFFF"/>
        </patternFill>
      </fill>
    </dxf>
    <dxf>
      <font>
        <strike val="0"/>
        <color auto="1"/>
      </font>
      <fill>
        <patternFill>
          <bgColor theme="9" tint="0.79998168889431442"/>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b/>
        <i val="0"/>
      </font>
      <fill>
        <patternFill patternType="none">
          <bgColor auto="1"/>
        </patternFill>
      </fill>
    </dxf>
    <dxf>
      <fill>
        <patternFill>
          <bgColor rgb="FFFEBABA"/>
        </patternFill>
      </fill>
    </dxf>
    <dxf>
      <fill>
        <patternFill>
          <bgColor rgb="FFF9FC74"/>
        </patternFill>
      </fill>
    </dxf>
    <dxf>
      <fill>
        <patternFill>
          <bgColor theme="9" tint="0.59996337778862885"/>
        </patternFill>
      </fill>
    </dxf>
  </dxfs>
  <tableStyles count="0" defaultTableStyle="TableStyleMedium2" defaultPivotStyle="PivotStyleLight16"/>
  <colors>
    <mruColors>
      <color rgb="FFFFFFCC"/>
      <color rgb="FF990033"/>
      <color rgb="FFEABD00"/>
      <color rgb="FFFFCC00"/>
      <color rgb="FFCCFFFF"/>
      <color rgb="FFFF99FF"/>
      <color rgb="FFD4C0FC"/>
      <color rgb="FF6DEDDE"/>
      <color rgb="FF33CCCC"/>
      <color rgb="FFFFCC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6CC02-C55A-48F6-B14A-EC503D6C2015}">
  <dimension ref="A1:F16"/>
  <sheetViews>
    <sheetView zoomScale="110" zoomScaleNormal="110" workbookViewId="0">
      <selection activeCell="B10" sqref="B10"/>
    </sheetView>
  </sheetViews>
  <sheetFormatPr defaultRowHeight="14.5" x14ac:dyDescent="0.35"/>
  <cols>
    <col min="1" max="1" width="18.26953125" bestFit="1" customWidth="1"/>
    <col min="5" max="5" width="18.26953125" bestFit="1" customWidth="1"/>
  </cols>
  <sheetData>
    <row r="1" spans="1:6" x14ac:dyDescent="0.35">
      <c r="A1" s="14" t="s">
        <v>0</v>
      </c>
      <c r="B1" s="15"/>
      <c r="C1" s="15"/>
      <c r="D1" s="18"/>
      <c r="E1" s="30"/>
      <c r="F1" s="19"/>
    </row>
    <row r="2" spans="1:6" x14ac:dyDescent="0.35">
      <c r="A2" s="20"/>
      <c r="B2" s="16" t="s">
        <v>1</v>
      </c>
      <c r="C2" s="16" t="s">
        <v>2</v>
      </c>
      <c r="D2" s="21" t="s">
        <v>3</v>
      </c>
      <c r="E2" s="31" t="s">
        <v>4</v>
      </c>
      <c r="F2" s="22" t="s">
        <v>5</v>
      </c>
    </row>
    <row r="3" spans="1:6" x14ac:dyDescent="0.35">
      <c r="A3" s="20" t="s">
        <v>6</v>
      </c>
      <c r="B3" s="16">
        <f>COUNTIF('P-ISSM_Checklist'!E5:E76, "pass")</f>
        <v>0</v>
      </c>
      <c r="C3" s="16">
        <f>COUNTIF('P-ISSM_Checklist'!E5:E76, "fail")</f>
        <v>0</v>
      </c>
      <c r="D3" s="23">
        <f>COUNTIF('P-ISSM_Checklist'!E5:E76, "concern")</f>
        <v>0</v>
      </c>
      <c r="E3" s="32">
        <f>COUNTIF('P-ISSM_Checklist'!E5:E76, "confirm - corrected")</f>
        <v>0</v>
      </c>
      <c r="F3" s="24">
        <f>COUNTIF('P-ISSM_Checklist'!E5:E76, "n/a")</f>
        <v>0</v>
      </c>
    </row>
    <row r="4" spans="1:6" x14ac:dyDescent="0.35">
      <c r="A4" s="20" t="s">
        <v>7</v>
      </c>
      <c r="B4" s="16">
        <f>COUNTIF('P-ISSM_Checklist'!E78:E105, "pass")</f>
        <v>0</v>
      </c>
      <c r="C4" s="16">
        <f>COUNTIF('P-ISSM_Checklist'!E78:E105, "fail")</f>
        <v>0</v>
      </c>
      <c r="D4" s="23">
        <f>COUNTIF('P-ISSM_Checklist'!E78:E105, "concern")</f>
        <v>0</v>
      </c>
      <c r="E4" s="32">
        <f>COUNTIF('P-ISSM_Checklist'!E78:E105, "confirm - corrected")</f>
        <v>0</v>
      </c>
      <c r="F4" s="24">
        <f>COUNTIF('P-ISSM_Checklist'!E78:E105, "n/a")</f>
        <v>0</v>
      </c>
    </row>
    <row r="5" spans="1:6" x14ac:dyDescent="0.35">
      <c r="A5" s="20" t="s">
        <v>8</v>
      </c>
      <c r="B5" s="16">
        <f>COUNTIF('P-ISSM_Checklist'!E107:E134, "pass")</f>
        <v>0</v>
      </c>
      <c r="C5" s="16">
        <f>COUNTIF('P-ISSM_Checklist'!E107:E134, "fail")</f>
        <v>0</v>
      </c>
      <c r="D5" s="23">
        <f>COUNTIF('P-ISSM_Checklist'!E107:E134, "concern")</f>
        <v>0</v>
      </c>
      <c r="E5" s="23">
        <f>COUNTIF('P-ISSM_Checklist'!E107:E134, "Confirm - Corrected")</f>
        <v>0</v>
      </c>
      <c r="F5" s="24">
        <f>COUNTIF('P-ISSM_Checklist'!E107:E134, "n/a")</f>
        <v>0</v>
      </c>
    </row>
    <row r="6" spans="1:6" x14ac:dyDescent="0.35">
      <c r="A6" s="20" t="s">
        <v>9</v>
      </c>
      <c r="B6" s="16">
        <f>COUNTIF('P-ISSM_Checklist'!E136:E156, "pass")</f>
        <v>0</v>
      </c>
      <c r="C6" s="16">
        <f>COUNTIF('P-ISSM_Checklist'!E136:E156, "fail")</f>
        <v>0</v>
      </c>
      <c r="D6" s="23">
        <f>COUNTIF('P-ISSM_Checklist'!E136:E156, "concern")</f>
        <v>0</v>
      </c>
      <c r="E6" s="23">
        <f>COUNTIF('P-ISSM_Checklist'!E136:E156, "confirm - corrected")</f>
        <v>0</v>
      </c>
      <c r="F6" s="24">
        <f>COUNTIF('P-ISSM_Checklist'!E136:E156, "n/a")</f>
        <v>0</v>
      </c>
    </row>
    <row r="7" spans="1:6" x14ac:dyDescent="0.35">
      <c r="A7" s="20" t="s">
        <v>10</v>
      </c>
      <c r="B7" s="16">
        <f>COUNTIF('P-ISSM_Checklist'!E158:E171, "pass")</f>
        <v>0</v>
      </c>
      <c r="C7" s="16">
        <f>COUNTIF('P-ISSM_Checklist'!E158:E171, "fail")</f>
        <v>0</v>
      </c>
      <c r="D7" s="23">
        <f>COUNTIF('P-ISSM_Checklist'!E158:E171, "concern")</f>
        <v>0</v>
      </c>
      <c r="E7" s="32">
        <f>COUNTIF('P-ISSM_Checklist'!E158:E171, "confirm - corrected")</f>
        <v>0</v>
      </c>
      <c r="F7" s="24">
        <f>COUNTIF('P-ISSM_Checklist'!E158:E171, "n/a")</f>
        <v>0</v>
      </c>
    </row>
    <row r="8" spans="1:6" x14ac:dyDescent="0.35">
      <c r="A8" s="20" t="s">
        <v>11</v>
      </c>
      <c r="B8" s="16">
        <f>COUNTIF('P-ISSM_Checklist'!E173:E174, "pass")</f>
        <v>0</v>
      </c>
      <c r="C8" s="16">
        <f>COUNTIF('P-ISSM_Checklist'!E173:E174, "fail")</f>
        <v>0</v>
      </c>
      <c r="D8" s="23">
        <f>COUNTIF('P-ISSM_Checklist'!E173:E174, "concern")</f>
        <v>0</v>
      </c>
      <c r="E8" s="32">
        <f>COUNTIF('P-ISSM_Checklist'!E173:E174, "confirm - corrected")</f>
        <v>0</v>
      </c>
      <c r="F8" s="24">
        <f>COUNTIF('P-ISSM_Checklist'!E173:E174, "n/a")</f>
        <v>0</v>
      </c>
    </row>
    <row r="9" spans="1:6" x14ac:dyDescent="0.35">
      <c r="A9" s="20" t="s">
        <v>12</v>
      </c>
      <c r="B9" s="16">
        <f>COUNTIF('P-ISSM_Checklist'!E176:E186, "pass")</f>
        <v>0</v>
      </c>
      <c r="C9" s="16">
        <f>COUNTIF('P-ISSM_Checklist'!E176:E186, "fail")</f>
        <v>0</v>
      </c>
      <c r="D9" s="23">
        <f>COUNTIF('P-ISSM_Checklist'!E176:E186, "concern")</f>
        <v>0</v>
      </c>
      <c r="E9" s="32">
        <f>COUNTIF('P-ISSM_Checklist'!E176:E186, "confirm - corrected")</f>
        <v>0</v>
      </c>
      <c r="F9" s="24">
        <f>COUNTIF('P-ISSM_Checklist'!E176:E186, "n/a")</f>
        <v>0</v>
      </c>
    </row>
    <row r="10" spans="1:6" ht="15" thickBot="1" x14ac:dyDescent="0.4">
      <c r="A10" s="20" t="s">
        <v>13</v>
      </c>
      <c r="B10" s="16">
        <f>COUNTIF('P-ISSM_Checklist'!E188:E199, "pass")</f>
        <v>0</v>
      </c>
      <c r="C10" s="16">
        <f>COUNTIF('P-ISSM_Checklist'!E188:E199, "fail")</f>
        <v>0</v>
      </c>
      <c r="D10" s="25">
        <f>COUNTIF('P-ISSM_Checklist'!E188:E199, "concern")</f>
        <v>0</v>
      </c>
      <c r="E10" s="33">
        <f>COUNTIF('P-ISSM_Checklist'!E188:E199, "confirm - corrected")</f>
        <v>0</v>
      </c>
      <c r="F10" s="26">
        <f>COUNTIF('P-ISSM_Checklist'!E188:E199, "n/a")</f>
        <v>0</v>
      </c>
    </row>
    <row r="11" spans="1:6" x14ac:dyDescent="0.35">
      <c r="A11" s="27" t="s">
        <v>14</v>
      </c>
      <c r="B11" s="16">
        <f>B3+B4+B5+B6+B7+B8+B9+B10</f>
        <v>0</v>
      </c>
      <c r="C11" s="12">
        <f t="shared" ref="C11:C16" si="0">B11/175</f>
        <v>0</v>
      </c>
    </row>
    <row r="12" spans="1:6" x14ac:dyDescent="0.35">
      <c r="A12" s="28" t="s">
        <v>15</v>
      </c>
      <c r="B12" s="16">
        <f>C3+C4+C5+C6+C7+C8+C9+C10</f>
        <v>0</v>
      </c>
      <c r="C12" s="12">
        <f t="shared" si="0"/>
        <v>0</v>
      </c>
    </row>
    <row r="13" spans="1:6" x14ac:dyDescent="0.35">
      <c r="A13" s="27" t="s">
        <v>16</v>
      </c>
      <c r="B13" s="16">
        <f>D3+D4+D5+D6+D7+D8+D9+D10</f>
        <v>0</v>
      </c>
      <c r="C13" s="12">
        <f t="shared" si="0"/>
        <v>0</v>
      </c>
    </row>
    <row r="14" spans="1:6" x14ac:dyDescent="0.35">
      <c r="A14" s="27" t="s">
        <v>4</v>
      </c>
      <c r="B14" s="16">
        <f>E3+E4+E5+E6+E7+E8+E9+E10</f>
        <v>0</v>
      </c>
      <c r="C14" s="12">
        <f t="shared" si="0"/>
        <v>0</v>
      </c>
    </row>
    <row r="15" spans="1:6" x14ac:dyDescent="0.35">
      <c r="A15" s="27" t="s">
        <v>17</v>
      </c>
      <c r="B15" s="16">
        <f>F3+F4+F5+F6+F7+F8+F9+F10</f>
        <v>0</v>
      </c>
      <c r="C15" s="12">
        <f t="shared" si="0"/>
        <v>0</v>
      </c>
    </row>
    <row r="16" spans="1:6" ht="15" thickBot="1" x14ac:dyDescent="0.4">
      <c r="A16" s="29" t="s">
        <v>18</v>
      </c>
      <c r="B16" s="17">
        <f>B11+B12+B13+B14+B15</f>
        <v>0</v>
      </c>
      <c r="C16" s="13">
        <f t="shared" si="0"/>
        <v>0</v>
      </c>
    </row>
  </sheetData>
  <conditionalFormatting sqref="C16">
    <cfRule type="cellIs" dxfId="163" priority="1" operator="greaterThan">
      <formula>0.98</formula>
    </cfRule>
    <cfRule type="cellIs" dxfId="162" priority="2" operator="between">
      <formula>0.700000001</formula>
      <formula>0.98</formula>
    </cfRule>
    <cfRule type="cellIs" dxfId="161" priority="3" operator="lessThan">
      <formula>0.7</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C03B00-37D4-4D6E-9FE8-E3E51C981444}">
  <dimension ref="A1:J212"/>
  <sheetViews>
    <sheetView tabSelected="1" zoomScaleNormal="100" workbookViewId="0">
      <pane ySplit="1" topLeftCell="A2" activePane="bottomLeft" state="frozen"/>
      <selection activeCell="A5" sqref="A5"/>
      <selection pane="bottomLeft" activeCell="B2" sqref="B2:H2"/>
    </sheetView>
  </sheetViews>
  <sheetFormatPr defaultColWidth="9.1796875" defaultRowHeight="14.5" zeroHeight="1" x14ac:dyDescent="0.35"/>
  <cols>
    <col min="1" max="2" width="18.7265625" style="3" customWidth="1"/>
    <col min="3" max="3" width="13.54296875" style="5" customWidth="1"/>
    <col min="4" max="4" width="46.81640625" style="4" customWidth="1"/>
    <col min="5" max="5" width="16.54296875" style="2" customWidth="1"/>
    <col min="6" max="6" width="21.1796875" style="5" customWidth="1"/>
    <col min="7" max="7" width="42.81640625" style="6" customWidth="1"/>
    <col min="8" max="8" width="47.26953125" style="6" customWidth="1"/>
    <col min="9" max="9" width="11.26953125" style="5" bestFit="1" customWidth="1"/>
    <col min="10" max="10" width="47.54296875" style="6" customWidth="1"/>
    <col min="11" max="16384" width="9.1796875" style="3"/>
  </cols>
  <sheetData>
    <row r="1" spans="1:10" ht="24" customHeight="1" x14ac:dyDescent="0.55000000000000004">
      <c r="A1" s="50"/>
      <c r="B1" s="133" t="s">
        <v>255</v>
      </c>
      <c r="C1" s="133"/>
      <c r="D1" s="133"/>
      <c r="E1" s="133"/>
      <c r="F1" s="133"/>
      <c r="G1" s="133"/>
      <c r="H1" s="133"/>
      <c r="I1" s="51"/>
      <c r="J1" s="52"/>
    </row>
    <row r="2" spans="1:10" s="49" customFormat="1" ht="49.5" customHeight="1" x14ac:dyDescent="0.45">
      <c r="A2" s="77"/>
      <c r="B2" s="132" t="s">
        <v>256</v>
      </c>
      <c r="C2" s="132"/>
      <c r="D2" s="132"/>
      <c r="E2" s="132"/>
      <c r="F2" s="132"/>
      <c r="G2" s="132"/>
      <c r="H2" s="132"/>
      <c r="I2" s="78"/>
      <c r="J2" s="79"/>
    </row>
    <row r="3" spans="1:10" s="2" customFormat="1" ht="41.5" customHeight="1" x14ac:dyDescent="0.35">
      <c r="A3" s="115" t="s">
        <v>19</v>
      </c>
      <c r="B3" s="115" t="s">
        <v>20</v>
      </c>
      <c r="C3" s="115" t="s">
        <v>21</v>
      </c>
      <c r="D3" s="116" t="s">
        <v>207</v>
      </c>
      <c r="E3" s="117" t="s">
        <v>22</v>
      </c>
      <c r="F3" s="117" t="s">
        <v>23</v>
      </c>
      <c r="G3" s="116" t="s">
        <v>205</v>
      </c>
      <c r="H3" s="116" t="s">
        <v>206</v>
      </c>
      <c r="I3" s="116" t="s">
        <v>24</v>
      </c>
      <c r="J3" s="115" t="s">
        <v>25</v>
      </c>
    </row>
    <row r="4" spans="1:10" ht="24" customHeight="1" x14ac:dyDescent="0.35">
      <c r="A4" s="91"/>
      <c r="B4" s="91" t="s">
        <v>26</v>
      </c>
      <c r="C4" s="92"/>
      <c r="D4" s="93"/>
      <c r="E4" s="94"/>
      <c r="F4" s="93"/>
      <c r="G4" s="93"/>
      <c r="H4" s="93"/>
      <c r="I4" s="93"/>
      <c r="J4" s="95"/>
    </row>
    <row r="5" spans="1:10" ht="58" x14ac:dyDescent="0.35">
      <c r="A5" s="64" t="str">
        <f>HYPERLINK("#'Chk Instructions-Where to Look'!A2", "System")</f>
        <v>System</v>
      </c>
      <c r="B5" s="68" t="s">
        <v>27</v>
      </c>
      <c r="C5" s="42"/>
      <c r="D5" s="7" t="s">
        <v>194</v>
      </c>
      <c r="E5" s="34"/>
      <c r="F5" s="36" t="s">
        <v>28</v>
      </c>
      <c r="G5" s="9"/>
      <c r="H5" s="9"/>
      <c r="I5" s="8"/>
      <c r="J5" s="10"/>
    </row>
    <row r="6" spans="1:10" ht="29" x14ac:dyDescent="0.35">
      <c r="A6" s="69" t="str">
        <f>HYPERLINK("#'Chk Instructions-Where to Look'!A3", "System")</f>
        <v>System</v>
      </c>
      <c r="B6" s="70" t="s">
        <v>208</v>
      </c>
      <c r="C6" s="80"/>
      <c r="D6" s="70" t="s">
        <v>29</v>
      </c>
      <c r="E6" s="81"/>
      <c r="F6" s="82" t="s">
        <v>30</v>
      </c>
      <c r="G6" s="83"/>
      <c r="H6" s="83"/>
      <c r="I6" s="84"/>
      <c r="J6" s="85"/>
    </row>
    <row r="7" spans="1:10" ht="29" x14ac:dyDescent="0.35">
      <c r="A7" s="64" t="str">
        <f>HYPERLINK("#'Chk Instructions-Where to Look'!A4", "System")</f>
        <v>System</v>
      </c>
      <c r="B7" s="7" t="s">
        <v>31</v>
      </c>
      <c r="C7" s="42" t="s">
        <v>32</v>
      </c>
      <c r="D7" s="7" t="s">
        <v>220</v>
      </c>
      <c r="E7" s="34"/>
      <c r="F7" s="36" t="s">
        <v>30</v>
      </c>
      <c r="G7" s="9"/>
      <c r="H7" s="9"/>
      <c r="I7" s="8"/>
      <c r="J7" s="9"/>
    </row>
    <row r="8" spans="1:10" ht="29" x14ac:dyDescent="0.35">
      <c r="A8" s="64" t="str">
        <f>HYPERLINK("#'Chk Instructions-Where to Look'!A5","System")</f>
        <v>System</v>
      </c>
      <c r="B8" s="7" t="s">
        <v>31</v>
      </c>
      <c r="C8" s="42" t="s">
        <v>32</v>
      </c>
      <c r="D8" s="7" t="s">
        <v>221</v>
      </c>
      <c r="E8" s="34"/>
      <c r="F8" s="36" t="s">
        <v>30</v>
      </c>
      <c r="G8" s="9"/>
      <c r="H8" s="9"/>
      <c r="I8" s="8"/>
      <c r="J8" s="9"/>
    </row>
    <row r="9" spans="1:10" ht="29" x14ac:dyDescent="0.35">
      <c r="A9" s="64" t="str">
        <f>HYPERLINK("#'Chk Instructions-Where to Look'!A6", "System")</f>
        <v>System</v>
      </c>
      <c r="B9" s="7" t="s">
        <v>33</v>
      </c>
      <c r="C9" s="42" t="s">
        <v>32</v>
      </c>
      <c r="D9" s="128" t="s">
        <v>218</v>
      </c>
      <c r="E9" s="34"/>
      <c r="F9" s="36" t="s">
        <v>34</v>
      </c>
      <c r="G9" s="9"/>
      <c r="H9" s="9"/>
      <c r="I9" s="8"/>
      <c r="J9" s="9"/>
    </row>
    <row r="10" spans="1:10" ht="43.5" x14ac:dyDescent="0.35">
      <c r="A10" s="64" t="str">
        <f>HYPERLINK("#'Chk Instructions-Where to Look'!A7", "System")</f>
        <v>System</v>
      </c>
      <c r="B10" s="7" t="s">
        <v>31</v>
      </c>
      <c r="C10" s="42" t="s">
        <v>32</v>
      </c>
      <c r="D10" s="7" t="s">
        <v>222</v>
      </c>
      <c r="E10" s="34"/>
      <c r="F10" s="36" t="s">
        <v>28</v>
      </c>
      <c r="G10" s="9"/>
      <c r="H10" s="9"/>
      <c r="I10" s="8"/>
      <c r="J10" s="9"/>
    </row>
    <row r="11" spans="1:10" ht="29" x14ac:dyDescent="0.35">
      <c r="A11" s="64" t="str">
        <f>HYPERLINK("#'Chk Instructions-Where to Look'!A8", "System")</f>
        <v>System</v>
      </c>
      <c r="B11" s="7" t="s">
        <v>208</v>
      </c>
      <c r="C11" s="42" t="s">
        <v>32</v>
      </c>
      <c r="D11" s="7" t="s">
        <v>35</v>
      </c>
      <c r="E11" s="34"/>
      <c r="F11" s="36" t="s">
        <v>28</v>
      </c>
      <c r="G11" s="9"/>
      <c r="H11" s="9"/>
      <c r="I11" s="8"/>
      <c r="J11" s="9"/>
    </row>
    <row r="12" spans="1:10" ht="43.5" x14ac:dyDescent="0.35">
      <c r="A12" s="64" t="str">
        <f>HYPERLINK("#'Chk Instructions-Where to Look'!A9", "System")</f>
        <v>System</v>
      </c>
      <c r="B12" s="7" t="s">
        <v>208</v>
      </c>
      <c r="C12" s="42" t="s">
        <v>32</v>
      </c>
      <c r="D12" s="7" t="s">
        <v>232</v>
      </c>
      <c r="E12" s="34"/>
      <c r="F12" s="36" t="s">
        <v>28</v>
      </c>
      <c r="G12" s="9"/>
      <c r="H12" s="9"/>
      <c r="I12" s="8"/>
      <c r="J12" s="9"/>
    </row>
    <row r="13" spans="1:10" ht="58" x14ac:dyDescent="0.35">
      <c r="A13" s="64" t="str">
        <f>HYPERLINK("#'Chk Instructions-Where to Look'!A10", "System")</f>
        <v>System</v>
      </c>
      <c r="B13" s="55" t="s">
        <v>213</v>
      </c>
      <c r="C13" s="42" t="s">
        <v>32</v>
      </c>
      <c r="D13" s="7" t="s">
        <v>36</v>
      </c>
      <c r="E13" s="34"/>
      <c r="F13" s="36" t="s">
        <v>28</v>
      </c>
      <c r="G13" s="9"/>
      <c r="H13" s="9"/>
      <c r="I13" s="8"/>
      <c r="J13" s="9"/>
    </row>
    <row r="14" spans="1:10" ht="43.5" x14ac:dyDescent="0.35">
      <c r="A14" s="64" t="str">
        <f>HYPERLINK("#'Chk Instructions-Where to Look'!A11", "System")</f>
        <v>System</v>
      </c>
      <c r="B14" s="7" t="s">
        <v>208</v>
      </c>
      <c r="C14" s="42" t="s">
        <v>32</v>
      </c>
      <c r="D14" s="7" t="s">
        <v>223</v>
      </c>
      <c r="E14" s="34"/>
      <c r="F14" s="36" t="s">
        <v>30</v>
      </c>
      <c r="G14" s="9"/>
      <c r="H14" s="9"/>
      <c r="I14" s="8"/>
      <c r="J14" s="9"/>
    </row>
    <row r="15" spans="1:10" ht="29" x14ac:dyDescent="0.35">
      <c r="A15" s="64" t="str">
        <f>HYPERLINK("#'Chk Instructions-Where to Look'!A12", "System")</f>
        <v>System</v>
      </c>
      <c r="B15" s="7" t="s">
        <v>31</v>
      </c>
      <c r="C15" s="42" t="s">
        <v>32</v>
      </c>
      <c r="D15" s="7" t="s">
        <v>224</v>
      </c>
      <c r="E15" s="34"/>
      <c r="F15" s="36" t="s">
        <v>30</v>
      </c>
      <c r="G15" s="9"/>
      <c r="H15" s="11"/>
      <c r="I15" s="8"/>
      <c r="J15" s="9"/>
    </row>
    <row r="16" spans="1:10" ht="29" x14ac:dyDescent="0.35">
      <c r="A16" s="64" t="str">
        <f>HYPERLINK("#'Chk Instructions-Where to Look'!A13", "System")</f>
        <v>System</v>
      </c>
      <c r="B16" s="7" t="s">
        <v>31</v>
      </c>
      <c r="C16" s="42" t="s">
        <v>32</v>
      </c>
      <c r="D16" s="7" t="s">
        <v>233</v>
      </c>
      <c r="E16" s="34"/>
      <c r="F16" s="36" t="s">
        <v>30</v>
      </c>
      <c r="G16" s="127"/>
      <c r="H16" s="9"/>
      <c r="I16" s="8"/>
      <c r="J16" s="9"/>
    </row>
    <row r="17" spans="1:10" ht="43.5" x14ac:dyDescent="0.35">
      <c r="A17" s="64" t="str">
        <f>HYPERLINK("#'Chk Instructions-Where to Look'!A14", "System")</f>
        <v>System</v>
      </c>
      <c r="B17" s="7" t="s">
        <v>31</v>
      </c>
      <c r="C17" s="42" t="s">
        <v>32</v>
      </c>
      <c r="D17" s="7" t="s">
        <v>37</v>
      </c>
      <c r="E17" s="34"/>
      <c r="F17" s="36" t="s">
        <v>28</v>
      </c>
      <c r="G17" s="9"/>
      <c r="H17" s="9"/>
      <c r="I17" s="8"/>
      <c r="J17" s="9"/>
    </row>
    <row r="18" spans="1:10" ht="72.5" x14ac:dyDescent="0.35">
      <c r="A18" s="64" t="str">
        <f>HYPERLINK("#'Chk Instructions-Where to Look'!A15", "System")</f>
        <v>System</v>
      </c>
      <c r="B18" s="7" t="s">
        <v>208</v>
      </c>
      <c r="C18" s="42" t="s">
        <v>32</v>
      </c>
      <c r="D18" s="7" t="s">
        <v>245</v>
      </c>
      <c r="E18" s="34"/>
      <c r="F18" s="36" t="s">
        <v>30</v>
      </c>
      <c r="G18" s="36"/>
      <c r="H18" s="9"/>
      <c r="I18" s="8"/>
      <c r="J18" s="9"/>
    </row>
    <row r="19" spans="1:10" ht="43.5" x14ac:dyDescent="0.35">
      <c r="A19" s="64" t="str">
        <f>HYPERLINK("#'Chk Instructions-Where to Look'!A16", "System")</f>
        <v>System</v>
      </c>
      <c r="B19" s="7" t="s">
        <v>208</v>
      </c>
      <c r="C19" s="42" t="s">
        <v>32</v>
      </c>
      <c r="D19" s="7" t="s">
        <v>38</v>
      </c>
      <c r="E19" s="34"/>
      <c r="F19" s="36" t="s">
        <v>39</v>
      </c>
      <c r="G19" s="9"/>
      <c r="H19" s="9"/>
      <c r="I19" s="8"/>
      <c r="J19" s="9"/>
    </row>
    <row r="20" spans="1:10" ht="157.5" customHeight="1" x14ac:dyDescent="0.35">
      <c r="A20" s="64" t="str">
        <f>HYPERLINK("#'Chk Instructions-Where to Look'!A17", "System")</f>
        <v>System</v>
      </c>
      <c r="B20" s="64" t="s">
        <v>208</v>
      </c>
      <c r="C20" s="64" t="s">
        <v>32</v>
      </c>
      <c r="D20" s="131" t="s">
        <v>234</v>
      </c>
      <c r="E20" s="34"/>
      <c r="F20" s="36" t="s">
        <v>39</v>
      </c>
      <c r="G20" s="36"/>
      <c r="H20" s="9"/>
      <c r="I20" s="8"/>
      <c r="J20" s="9"/>
    </row>
    <row r="21" spans="1:10" ht="29" x14ac:dyDescent="0.35">
      <c r="A21" s="64" t="str">
        <f>HYPERLINK("#'Chk Instructions-Where to Look'!A18", "System")</f>
        <v>System</v>
      </c>
      <c r="B21" s="7" t="s">
        <v>31</v>
      </c>
      <c r="C21" s="42" t="s">
        <v>32</v>
      </c>
      <c r="D21" s="7" t="s">
        <v>195</v>
      </c>
      <c r="E21" s="34"/>
      <c r="F21" s="36" t="s">
        <v>30</v>
      </c>
      <c r="G21" s="36"/>
      <c r="H21" s="9"/>
      <c r="I21" s="8"/>
      <c r="J21" s="9"/>
    </row>
    <row r="22" spans="1:10" ht="58" x14ac:dyDescent="0.35">
      <c r="A22" s="64" t="str">
        <f>HYPERLINK("#'Chk Instructions-Where to Look'!A19", "System")</f>
        <v>System</v>
      </c>
      <c r="B22" s="55" t="s">
        <v>213</v>
      </c>
      <c r="C22" s="42" t="s">
        <v>32</v>
      </c>
      <c r="D22" s="7" t="s">
        <v>40</v>
      </c>
      <c r="E22" s="34"/>
      <c r="F22" s="36" t="s">
        <v>39</v>
      </c>
      <c r="G22" s="9"/>
      <c r="H22" s="9"/>
      <c r="I22" s="8"/>
      <c r="J22" s="9"/>
    </row>
    <row r="23" spans="1:10" ht="72.5" x14ac:dyDescent="0.35">
      <c r="A23" s="64" t="str">
        <f>HYPERLINK("#'Chk Instructions-Where to Look'!A20", "System")</f>
        <v>System</v>
      </c>
      <c r="B23" s="55" t="s">
        <v>213</v>
      </c>
      <c r="C23" s="42" t="s">
        <v>32</v>
      </c>
      <c r="D23" s="7" t="s">
        <v>196</v>
      </c>
      <c r="E23" s="34"/>
      <c r="F23" s="36" t="s">
        <v>39</v>
      </c>
      <c r="G23" s="9"/>
      <c r="H23" s="9"/>
      <c r="I23" s="8"/>
      <c r="J23" s="9"/>
    </row>
    <row r="24" spans="1:10" ht="58" x14ac:dyDescent="0.35">
      <c r="A24" s="64" t="str">
        <f>HYPERLINK("#'Chk Instructions-Where to Look'!A21", "System")</f>
        <v>System</v>
      </c>
      <c r="B24" s="55" t="s">
        <v>213</v>
      </c>
      <c r="C24" s="42" t="s">
        <v>32</v>
      </c>
      <c r="D24" s="7" t="s">
        <v>41</v>
      </c>
      <c r="E24" s="34"/>
      <c r="F24" s="36" t="s">
        <v>42</v>
      </c>
      <c r="G24" s="9"/>
      <c r="H24" s="9"/>
      <c r="I24" s="8"/>
      <c r="J24" s="9"/>
    </row>
    <row r="25" spans="1:10" ht="43.5" x14ac:dyDescent="0.35">
      <c r="A25" s="64" t="str">
        <f>HYPERLINK("#'Chk Instructions-Where to Look'!A22", "System")</f>
        <v>System</v>
      </c>
      <c r="B25" s="55" t="s">
        <v>213</v>
      </c>
      <c r="C25" s="42" t="s">
        <v>32</v>
      </c>
      <c r="D25" s="7" t="s">
        <v>235</v>
      </c>
      <c r="E25" s="34"/>
      <c r="F25" s="36" t="s">
        <v>42</v>
      </c>
      <c r="G25" s="9"/>
      <c r="H25" s="9"/>
      <c r="I25" s="8"/>
      <c r="J25" s="9"/>
    </row>
    <row r="26" spans="1:10" ht="29" x14ac:dyDescent="0.35">
      <c r="A26" s="67" t="str">
        <f>HYPERLINK("#'Chk Instructions-Where to Look'!A23", "System")</f>
        <v>System</v>
      </c>
      <c r="B26" s="68" t="s">
        <v>43</v>
      </c>
      <c r="C26" s="101"/>
      <c r="D26" s="68" t="s">
        <v>44</v>
      </c>
      <c r="E26" s="34"/>
      <c r="F26" s="102" t="s">
        <v>39</v>
      </c>
      <c r="G26" s="103"/>
      <c r="H26" s="103"/>
      <c r="I26" s="104"/>
      <c r="J26" s="105"/>
    </row>
    <row r="27" spans="1:10" ht="159.5" x14ac:dyDescent="0.35">
      <c r="A27" s="64" t="str">
        <f>HYPERLINK("#'Chk Instructions-Where to Look'!A24", "System")</f>
        <v>System</v>
      </c>
      <c r="B27" s="7" t="s">
        <v>43</v>
      </c>
      <c r="C27" s="35"/>
      <c r="D27" s="7" t="s">
        <v>45</v>
      </c>
      <c r="E27" s="34"/>
      <c r="F27" s="36" t="s">
        <v>39</v>
      </c>
      <c r="G27" s="103"/>
      <c r="H27" s="9"/>
      <c r="I27" s="8"/>
      <c r="J27" s="10"/>
    </row>
    <row r="28" spans="1:10" ht="29" x14ac:dyDescent="0.35">
      <c r="A28" s="64" t="str">
        <f>HYPERLINK("#'Chk Instructions-Where to Look'!A25", "System")</f>
        <v>System</v>
      </c>
      <c r="B28" s="7" t="s">
        <v>43</v>
      </c>
      <c r="C28" s="35"/>
      <c r="D28" s="7" t="s">
        <v>46</v>
      </c>
      <c r="E28" s="34"/>
      <c r="F28" s="36" t="s">
        <v>39</v>
      </c>
      <c r="G28" s="103"/>
      <c r="H28" s="9"/>
      <c r="I28" s="8"/>
      <c r="J28" s="10"/>
    </row>
    <row r="29" spans="1:10" x14ac:dyDescent="0.35">
      <c r="A29" s="69" t="str">
        <f>HYPERLINK("#'Chk Instructions-Where to Look'!A26", "System")</f>
        <v>System</v>
      </c>
      <c r="B29" s="70" t="s">
        <v>43</v>
      </c>
      <c r="C29" s="80"/>
      <c r="D29" s="70" t="s">
        <v>236</v>
      </c>
      <c r="E29" s="34"/>
      <c r="F29" s="82" t="s">
        <v>39</v>
      </c>
      <c r="G29" s="103"/>
      <c r="H29" s="83"/>
      <c r="I29" s="84"/>
      <c r="J29" s="85"/>
    </row>
    <row r="30" spans="1:10" ht="29" x14ac:dyDescent="0.35">
      <c r="A30" s="64" t="str">
        <f>HYPERLINK("#'Chk Instructions-Where to Look'!A27", "System")</f>
        <v>System</v>
      </c>
      <c r="B30" s="7" t="s">
        <v>31</v>
      </c>
      <c r="C30" s="42" t="s">
        <v>32</v>
      </c>
      <c r="D30" s="7" t="s">
        <v>47</v>
      </c>
      <c r="E30" s="34"/>
      <c r="F30" s="36" t="s">
        <v>30</v>
      </c>
      <c r="G30" s="9"/>
      <c r="H30" s="9"/>
      <c r="I30" s="8"/>
      <c r="J30" s="9"/>
    </row>
    <row r="31" spans="1:10" ht="58" x14ac:dyDescent="0.35">
      <c r="A31" s="64" t="str">
        <f>HYPERLINK("#'Chk Instructions-Where to Look'!A28", "System")</f>
        <v>System</v>
      </c>
      <c r="B31" s="7" t="s">
        <v>31</v>
      </c>
      <c r="C31" s="42" t="s">
        <v>32</v>
      </c>
      <c r="D31" s="7" t="s">
        <v>48</v>
      </c>
      <c r="E31" s="34"/>
      <c r="F31" s="36" t="s">
        <v>30</v>
      </c>
      <c r="G31" s="9"/>
      <c r="H31" s="9"/>
      <c r="I31" s="8"/>
      <c r="J31" s="9"/>
    </row>
    <row r="32" spans="1:10" ht="29" x14ac:dyDescent="0.35">
      <c r="A32" s="64" t="str">
        <f>HYPERLINK("#'Chk Instructions-Where to Look'!A29", "System")</f>
        <v>System</v>
      </c>
      <c r="B32" s="55" t="s">
        <v>213</v>
      </c>
      <c r="C32" s="42" t="s">
        <v>32</v>
      </c>
      <c r="D32" s="7" t="s">
        <v>237</v>
      </c>
      <c r="E32" s="34"/>
      <c r="F32" s="36" t="s">
        <v>39</v>
      </c>
      <c r="G32" s="9"/>
      <c r="H32" s="9"/>
      <c r="I32" s="8"/>
      <c r="J32" s="9"/>
    </row>
    <row r="33" spans="1:10" ht="43.5" x14ac:dyDescent="0.35">
      <c r="A33" s="64" t="str">
        <f>HYPERLINK("#'Chk Instructions-Where to Look'!A30", "System")</f>
        <v>System</v>
      </c>
      <c r="B33" s="7" t="s">
        <v>31</v>
      </c>
      <c r="C33" s="42" t="s">
        <v>32</v>
      </c>
      <c r="D33" s="7" t="s">
        <v>238</v>
      </c>
      <c r="E33" s="34"/>
      <c r="F33" s="36" t="s">
        <v>39</v>
      </c>
      <c r="G33" s="9"/>
      <c r="H33" s="9"/>
      <c r="I33" s="8"/>
      <c r="J33" s="9"/>
    </row>
    <row r="34" spans="1:10" ht="29" x14ac:dyDescent="0.35">
      <c r="A34" s="64" t="str">
        <f>HYPERLINK("#'Chk Instructions-Where to Look'!A31", "System")</f>
        <v>System</v>
      </c>
      <c r="B34" s="7" t="s">
        <v>49</v>
      </c>
      <c r="C34" s="35"/>
      <c r="D34" s="7" t="s">
        <v>50</v>
      </c>
      <c r="E34" s="34"/>
      <c r="F34" s="36" t="s">
        <v>39</v>
      </c>
      <c r="G34" s="9"/>
      <c r="H34" s="9"/>
      <c r="I34" s="8"/>
      <c r="J34" s="10"/>
    </row>
    <row r="35" spans="1:10" ht="27" customHeight="1" x14ac:dyDescent="0.35">
      <c r="A35" s="54"/>
      <c r="B35" s="54" t="s">
        <v>51</v>
      </c>
      <c r="C35" s="57"/>
      <c r="D35" s="58"/>
      <c r="E35" s="59"/>
      <c r="F35" s="58"/>
      <c r="G35" s="58"/>
      <c r="H35" s="58"/>
      <c r="I35" s="58"/>
      <c r="J35" s="60"/>
    </row>
    <row r="36" spans="1:10" ht="29" x14ac:dyDescent="0.35">
      <c r="A36" s="64" t="str">
        <f>HYPERLINK("#'Chk Instructions-Where to Look'!A32", "System")</f>
        <v>System</v>
      </c>
      <c r="B36" s="7" t="s">
        <v>31</v>
      </c>
      <c r="C36" s="42" t="s">
        <v>32</v>
      </c>
      <c r="D36" s="7" t="s">
        <v>52</v>
      </c>
      <c r="E36" s="34"/>
      <c r="F36" s="36" t="s">
        <v>30</v>
      </c>
      <c r="G36" s="9"/>
      <c r="H36" s="9"/>
      <c r="I36" s="8"/>
      <c r="J36" s="9"/>
    </row>
    <row r="37" spans="1:10" ht="29" x14ac:dyDescent="0.35">
      <c r="A37" s="67" t="str">
        <f>HYPERLINK("#'Chk Instructions-Where to Look'!A33", "System")</f>
        <v>System</v>
      </c>
      <c r="B37" s="68" t="s">
        <v>31</v>
      </c>
      <c r="C37" s="101"/>
      <c r="D37" s="68" t="s">
        <v>53</v>
      </c>
      <c r="E37" s="34"/>
      <c r="F37" s="102" t="s">
        <v>30</v>
      </c>
      <c r="G37" s="9"/>
      <c r="H37" s="103"/>
      <c r="I37" s="104"/>
      <c r="J37" s="105"/>
    </row>
    <row r="38" spans="1:10" ht="29" x14ac:dyDescent="0.35">
      <c r="A38" s="69" t="str">
        <f>HYPERLINK("#'Chk Instructions-Where to Look'!A34", "System")</f>
        <v>System</v>
      </c>
      <c r="B38" s="70" t="s">
        <v>54</v>
      </c>
      <c r="C38" s="80"/>
      <c r="D38" s="70" t="s">
        <v>55</v>
      </c>
      <c r="E38" s="34"/>
      <c r="F38" s="82" t="s">
        <v>30</v>
      </c>
      <c r="G38" s="9"/>
      <c r="H38" s="83"/>
      <c r="I38" s="84"/>
      <c r="J38" s="85"/>
    </row>
    <row r="39" spans="1:10" ht="29" x14ac:dyDescent="0.35">
      <c r="A39" s="64" t="str">
        <f>HYPERLINK("#'Chk Instructions-Where to Look'!A35", "System")</f>
        <v>System</v>
      </c>
      <c r="B39" s="7" t="s">
        <v>31</v>
      </c>
      <c r="C39" s="42" t="s">
        <v>32</v>
      </c>
      <c r="D39" s="7" t="s">
        <v>56</v>
      </c>
      <c r="E39" s="34"/>
      <c r="F39" s="36" t="s">
        <v>30</v>
      </c>
      <c r="G39" s="9"/>
      <c r="H39" s="9"/>
      <c r="I39" s="8"/>
      <c r="J39" s="9"/>
    </row>
    <row r="40" spans="1:10" ht="18" customHeight="1" x14ac:dyDescent="0.35">
      <c r="A40" s="54"/>
      <c r="B40" s="54" t="s">
        <v>57</v>
      </c>
      <c r="C40" s="92"/>
      <c r="D40" s="93"/>
      <c r="E40" s="94"/>
      <c r="F40" s="93"/>
      <c r="G40" s="93"/>
      <c r="H40" s="93"/>
      <c r="I40" s="93"/>
      <c r="J40" s="95"/>
    </row>
    <row r="41" spans="1:10" ht="29" x14ac:dyDescent="0.35">
      <c r="A41" s="69" t="str">
        <f>HYPERLINK("#'Chk Instructions-Where to Look'!A36", "System")</f>
        <v>System</v>
      </c>
      <c r="B41" s="70" t="s">
        <v>208</v>
      </c>
      <c r="C41" s="80"/>
      <c r="D41" s="70" t="s">
        <v>58</v>
      </c>
      <c r="E41" s="34"/>
      <c r="F41" s="82" t="s">
        <v>39</v>
      </c>
      <c r="G41" s="83"/>
      <c r="H41" s="83"/>
      <c r="I41" s="84"/>
      <c r="J41" s="85"/>
    </row>
    <row r="42" spans="1:10" ht="29" x14ac:dyDescent="0.35">
      <c r="A42" s="64" t="str">
        <f>HYPERLINK("#'Chk Instructions-Where to Look'!A37", "System")</f>
        <v>System</v>
      </c>
      <c r="B42" s="7" t="s">
        <v>31</v>
      </c>
      <c r="C42" s="42" t="s">
        <v>32</v>
      </c>
      <c r="D42" s="7" t="s">
        <v>59</v>
      </c>
      <c r="E42" s="34"/>
      <c r="F42" s="36" t="s">
        <v>30</v>
      </c>
      <c r="G42" s="9"/>
      <c r="H42" s="9"/>
      <c r="I42" s="8"/>
      <c r="J42" s="9"/>
    </row>
    <row r="43" spans="1:10" ht="59.25" customHeight="1" x14ac:dyDescent="0.35">
      <c r="A43" s="67" t="str">
        <f>HYPERLINK("#'Chk Instructions-Where to Look'!A38", "System")</f>
        <v>System</v>
      </c>
      <c r="B43" s="68" t="s">
        <v>31</v>
      </c>
      <c r="C43" s="101"/>
      <c r="D43" s="68" t="s">
        <v>60</v>
      </c>
      <c r="E43" s="34"/>
      <c r="F43" s="102" t="s">
        <v>28</v>
      </c>
      <c r="G43" s="9"/>
      <c r="H43" s="103"/>
      <c r="I43" s="104"/>
      <c r="J43" s="105"/>
    </row>
    <row r="44" spans="1:10" ht="29" x14ac:dyDescent="0.35">
      <c r="A44" s="64" t="str">
        <f>HYPERLINK("#'Chk Instructions-Where to Look'!A39", "System")</f>
        <v>System</v>
      </c>
      <c r="B44" s="7" t="s">
        <v>31</v>
      </c>
      <c r="C44" s="35"/>
      <c r="D44" s="7" t="s">
        <v>61</v>
      </c>
      <c r="E44" s="34"/>
      <c r="F44" s="36" t="s">
        <v>30</v>
      </c>
      <c r="G44" s="9"/>
      <c r="H44" s="9"/>
      <c r="I44" s="8"/>
      <c r="J44" s="10"/>
    </row>
    <row r="45" spans="1:10" ht="29" x14ac:dyDescent="0.35">
      <c r="A45" s="64" t="str">
        <f>HYPERLINK("#'Chk Instructions-Where to Look'!A40", "System")</f>
        <v>System</v>
      </c>
      <c r="B45" s="7" t="s">
        <v>31</v>
      </c>
      <c r="C45" s="35"/>
      <c r="D45" s="7" t="s">
        <v>62</v>
      </c>
      <c r="E45" s="34"/>
      <c r="F45" s="36" t="s">
        <v>30</v>
      </c>
      <c r="G45" s="9"/>
      <c r="H45" s="9"/>
      <c r="I45" s="8"/>
      <c r="J45" s="10"/>
    </row>
    <row r="46" spans="1:10" ht="27" customHeight="1" x14ac:dyDescent="0.35">
      <c r="A46" s="61"/>
      <c r="B46" s="53" t="s">
        <v>63</v>
      </c>
      <c r="C46" s="53"/>
      <c r="D46" s="39"/>
      <c r="E46" s="40"/>
      <c r="F46" s="39"/>
      <c r="G46" s="39"/>
      <c r="H46" s="39"/>
      <c r="I46" s="39"/>
      <c r="J46" s="44"/>
    </row>
    <row r="47" spans="1:10" ht="29" x14ac:dyDescent="0.35">
      <c r="A47" s="64" t="str">
        <f>HYPERLINK("#'Chk Instructions-Where to Look'!A41", "System")</f>
        <v>System</v>
      </c>
      <c r="B47" s="7" t="s">
        <v>31</v>
      </c>
      <c r="C47" s="42" t="s">
        <v>32</v>
      </c>
      <c r="D47" s="7" t="s">
        <v>64</v>
      </c>
      <c r="E47" s="34"/>
      <c r="F47" s="36" t="s">
        <v>30</v>
      </c>
      <c r="G47" s="9"/>
      <c r="H47" s="9"/>
      <c r="I47" s="8"/>
      <c r="J47" s="9"/>
    </row>
    <row r="48" spans="1:10" ht="168" customHeight="1" x14ac:dyDescent="0.35">
      <c r="A48" s="64" t="str">
        <f>HYPERLINK("#'Chk Instructions-Where to Look'!A42", "System")</f>
        <v>System</v>
      </c>
      <c r="B48" s="7" t="s">
        <v>31</v>
      </c>
      <c r="C48" s="42" t="s">
        <v>32</v>
      </c>
      <c r="D48" s="7" t="s">
        <v>65</v>
      </c>
      <c r="E48" s="34"/>
      <c r="F48" s="36" t="s">
        <v>30</v>
      </c>
      <c r="G48" s="9"/>
      <c r="H48" s="9"/>
      <c r="I48" s="8"/>
      <c r="J48" s="9"/>
    </row>
    <row r="49" spans="1:10" ht="72.5" x14ac:dyDescent="0.35">
      <c r="A49" s="64" t="str">
        <f>HYPERLINK("#'Chk Instructions-Where to Look'!A43", "System")</f>
        <v>System</v>
      </c>
      <c r="B49" s="7" t="s">
        <v>31</v>
      </c>
      <c r="C49" s="42" t="s">
        <v>32</v>
      </c>
      <c r="D49" s="7" t="s">
        <v>66</v>
      </c>
      <c r="E49" s="34"/>
      <c r="F49" s="36" t="s">
        <v>30</v>
      </c>
      <c r="G49" s="9"/>
      <c r="H49" s="9"/>
      <c r="I49" s="8"/>
      <c r="J49" s="9"/>
    </row>
    <row r="50" spans="1:10" ht="81" customHeight="1" x14ac:dyDescent="0.35">
      <c r="A50" s="64" t="str">
        <f>HYPERLINK("#'Chk Instructions-Where to Look'!A44", "System")</f>
        <v>System</v>
      </c>
      <c r="B50" s="7" t="s">
        <v>31</v>
      </c>
      <c r="C50" s="42" t="s">
        <v>32</v>
      </c>
      <c r="D50" s="7" t="s">
        <v>67</v>
      </c>
      <c r="E50" s="34"/>
      <c r="F50" s="36" t="s">
        <v>30</v>
      </c>
      <c r="G50" s="9"/>
      <c r="H50" s="9"/>
      <c r="I50" s="8"/>
      <c r="J50" s="9"/>
    </row>
    <row r="51" spans="1:10" ht="101.5" x14ac:dyDescent="0.35">
      <c r="A51" s="64" t="str">
        <f>HYPERLINK("#'Chk Instructions-Where to Look'!A45", "System")</f>
        <v>System</v>
      </c>
      <c r="B51" s="7" t="s">
        <v>31</v>
      </c>
      <c r="C51" s="42" t="s">
        <v>32</v>
      </c>
      <c r="D51" s="7" t="s">
        <v>68</v>
      </c>
      <c r="E51" s="34"/>
      <c r="F51" s="36" t="s">
        <v>30</v>
      </c>
      <c r="G51" s="9"/>
      <c r="H51" s="9"/>
      <c r="I51" s="8"/>
      <c r="J51" s="9"/>
    </row>
    <row r="52" spans="1:10" ht="29" x14ac:dyDescent="0.35">
      <c r="A52" s="64" t="str">
        <f>HYPERLINK("#'Chk Instructions-Where to Look'!A46", "System")</f>
        <v>System</v>
      </c>
      <c r="B52" s="7" t="s">
        <v>31</v>
      </c>
      <c r="C52" s="42" t="s">
        <v>32</v>
      </c>
      <c r="D52" s="7" t="s">
        <v>69</v>
      </c>
      <c r="E52" s="34"/>
      <c r="F52" s="36" t="s">
        <v>30</v>
      </c>
      <c r="G52" s="9"/>
      <c r="H52" s="9"/>
      <c r="I52" s="8"/>
      <c r="J52" s="9"/>
    </row>
    <row r="53" spans="1:10" ht="29" x14ac:dyDescent="0.35">
      <c r="A53" s="64" t="str">
        <f>HYPERLINK("#'Chk Instructions-Where to Look'!A47", "System")</f>
        <v>System</v>
      </c>
      <c r="B53" s="7" t="s">
        <v>31</v>
      </c>
      <c r="C53" s="42" t="s">
        <v>32</v>
      </c>
      <c r="D53" s="7" t="s">
        <v>70</v>
      </c>
      <c r="E53" s="34"/>
      <c r="F53" s="36" t="s">
        <v>30</v>
      </c>
      <c r="G53" s="9"/>
      <c r="H53" s="9"/>
      <c r="I53" s="8"/>
      <c r="J53" s="9"/>
    </row>
    <row r="54" spans="1:10" ht="26.25" customHeight="1" x14ac:dyDescent="0.35">
      <c r="A54" s="106"/>
      <c r="B54" s="107" t="s">
        <v>71</v>
      </c>
      <c r="C54" s="107"/>
      <c r="D54" s="108"/>
      <c r="E54" s="109"/>
      <c r="F54" s="108"/>
      <c r="G54" s="108"/>
      <c r="H54" s="108"/>
      <c r="I54" s="108"/>
      <c r="J54" s="110"/>
    </row>
    <row r="55" spans="1:10" ht="29" x14ac:dyDescent="0.35">
      <c r="A55" s="64" t="str">
        <f>HYPERLINK("#'Chk Instructions-Where to Look'!A48", "System")</f>
        <v>System</v>
      </c>
      <c r="B55" s="7" t="s">
        <v>31</v>
      </c>
      <c r="C55" s="42" t="s">
        <v>32</v>
      </c>
      <c r="D55" s="7" t="s">
        <v>225</v>
      </c>
      <c r="E55" s="34"/>
      <c r="F55" s="36" t="s">
        <v>30</v>
      </c>
      <c r="G55" s="9"/>
      <c r="H55" s="9"/>
      <c r="I55" s="8"/>
      <c r="J55" s="9"/>
    </row>
    <row r="56" spans="1:10" ht="29" x14ac:dyDescent="0.35">
      <c r="A56" s="64" t="str">
        <f>HYPERLINK("#'Chk Instructions-Where to Look'!A49", "System")</f>
        <v>System</v>
      </c>
      <c r="B56" s="7" t="s">
        <v>31</v>
      </c>
      <c r="C56" s="42" t="s">
        <v>32</v>
      </c>
      <c r="D56" s="7" t="s">
        <v>226</v>
      </c>
      <c r="E56" s="34"/>
      <c r="F56" s="36" t="s">
        <v>30</v>
      </c>
      <c r="G56" s="9"/>
      <c r="H56" s="9"/>
      <c r="I56" s="8"/>
      <c r="J56" s="9"/>
    </row>
    <row r="57" spans="1:10" ht="29" x14ac:dyDescent="0.35">
      <c r="A57" s="71" t="str">
        <f>HYPERLINK("#'Chk Instructions-Where to Look'!A50", "System")</f>
        <v>System</v>
      </c>
      <c r="B57" s="72" t="s">
        <v>31</v>
      </c>
      <c r="C57" s="96"/>
      <c r="D57" s="72" t="s">
        <v>227</v>
      </c>
      <c r="E57" s="34"/>
      <c r="F57" s="97" t="s">
        <v>30</v>
      </c>
      <c r="G57" s="9"/>
      <c r="H57" s="98"/>
      <c r="I57" s="99"/>
      <c r="J57" s="100"/>
    </row>
    <row r="58" spans="1:10" ht="29" x14ac:dyDescent="0.35">
      <c r="A58" s="64" t="str">
        <f>HYPERLINK("#'Chk Instructions-Where to Look'!A51", "System")</f>
        <v>System</v>
      </c>
      <c r="B58" s="7" t="s">
        <v>31</v>
      </c>
      <c r="C58" s="42" t="s">
        <v>32</v>
      </c>
      <c r="D58" s="7" t="s">
        <v>228</v>
      </c>
      <c r="E58" s="34"/>
      <c r="F58" s="36" t="s">
        <v>30</v>
      </c>
      <c r="G58" s="9"/>
      <c r="H58" s="9"/>
      <c r="I58" s="8"/>
      <c r="J58" s="9"/>
    </row>
    <row r="59" spans="1:10" ht="29" x14ac:dyDescent="0.35">
      <c r="A59" s="71" t="str">
        <f>HYPERLINK("#'Chk Instructions-Where to Look'!A52", "System")</f>
        <v>System</v>
      </c>
      <c r="B59" s="72" t="s">
        <v>31</v>
      </c>
      <c r="C59" s="101"/>
      <c r="D59" s="68" t="s">
        <v>229</v>
      </c>
      <c r="E59" s="34"/>
      <c r="F59" s="102" t="s">
        <v>30</v>
      </c>
      <c r="G59" s="9"/>
      <c r="H59" s="103"/>
      <c r="I59" s="104"/>
      <c r="J59" s="105"/>
    </row>
    <row r="60" spans="1:10" ht="18.75" customHeight="1" x14ac:dyDescent="0.35">
      <c r="A60" s="86"/>
      <c r="B60" s="57" t="s">
        <v>72</v>
      </c>
      <c r="C60" s="57"/>
      <c r="D60" s="58"/>
      <c r="E60" s="59"/>
      <c r="F60" s="58"/>
      <c r="G60" s="58"/>
      <c r="H60" s="58"/>
      <c r="I60" s="58"/>
      <c r="J60" s="60"/>
    </row>
    <row r="61" spans="1:10" ht="29" x14ac:dyDescent="0.35">
      <c r="A61" s="64" t="str">
        <f>HYPERLINK("#'Chk Instructions-Where to Look'!A53", "System")</f>
        <v>System</v>
      </c>
      <c r="B61" s="7" t="s">
        <v>31</v>
      </c>
      <c r="C61" s="42" t="s">
        <v>32</v>
      </c>
      <c r="D61" s="7" t="s">
        <v>239</v>
      </c>
      <c r="E61" s="34"/>
      <c r="F61" s="36" t="s">
        <v>30</v>
      </c>
      <c r="G61" s="9"/>
      <c r="H61" s="9"/>
      <c r="I61" s="8"/>
      <c r="J61" s="9"/>
    </row>
    <row r="62" spans="1:10" ht="31.5" customHeight="1" x14ac:dyDescent="0.35">
      <c r="A62" s="106"/>
      <c r="B62" s="107" t="s">
        <v>73</v>
      </c>
      <c r="C62" s="107"/>
      <c r="D62" s="108"/>
      <c r="E62" s="109"/>
      <c r="F62" s="108"/>
      <c r="G62" s="108"/>
      <c r="H62" s="108"/>
      <c r="I62" s="108"/>
      <c r="J62" s="110"/>
    </row>
    <row r="63" spans="1:10" ht="43.5" x14ac:dyDescent="0.35">
      <c r="A63" s="64" t="str">
        <f>HYPERLINK("#'Chk Instructions-Where to Look'!A54", "System")</f>
        <v>System</v>
      </c>
      <c r="B63" s="7" t="s">
        <v>54</v>
      </c>
      <c r="C63" s="42" t="s">
        <v>32</v>
      </c>
      <c r="D63" s="7" t="s">
        <v>240</v>
      </c>
      <c r="E63" s="34"/>
      <c r="F63" s="36" t="s">
        <v>39</v>
      </c>
      <c r="G63" s="9"/>
      <c r="H63" s="9"/>
      <c r="I63" s="8"/>
      <c r="J63" s="9"/>
    </row>
    <row r="64" spans="1:10" ht="26.25" customHeight="1" x14ac:dyDescent="0.35">
      <c r="A64" s="111"/>
      <c r="B64" s="92" t="s">
        <v>214</v>
      </c>
      <c r="C64" s="92"/>
      <c r="D64" s="93"/>
      <c r="E64" s="94"/>
      <c r="F64" s="93"/>
      <c r="G64" s="93"/>
      <c r="H64" s="93"/>
      <c r="I64" s="93"/>
      <c r="J64" s="95"/>
    </row>
    <row r="65" spans="1:10" ht="29" x14ac:dyDescent="0.35">
      <c r="A65" s="63" t="str">
        <f>HYPERLINK("#'Chk Instructions-Where to Look'!A55", "System")</f>
        <v>System</v>
      </c>
      <c r="B65" s="72" t="s">
        <v>54</v>
      </c>
      <c r="C65" s="35"/>
      <c r="D65" s="7" t="s">
        <v>215</v>
      </c>
      <c r="E65" s="34"/>
      <c r="F65" s="36" t="s">
        <v>30</v>
      </c>
      <c r="G65" s="9"/>
      <c r="H65" s="9"/>
      <c r="I65" s="8"/>
      <c r="J65" s="10"/>
    </row>
    <row r="66" spans="1:10" ht="27.75" customHeight="1" x14ac:dyDescent="0.35">
      <c r="A66" s="86"/>
      <c r="B66" s="57" t="s">
        <v>74</v>
      </c>
      <c r="C66" s="57"/>
      <c r="D66" s="58"/>
      <c r="E66" s="59"/>
      <c r="F66" s="58"/>
      <c r="G66" s="58"/>
      <c r="H66" s="58"/>
      <c r="I66" s="58"/>
      <c r="J66" s="60"/>
    </row>
    <row r="67" spans="1:10" ht="29" x14ac:dyDescent="0.35">
      <c r="A67" s="64" t="str">
        <f>HYPERLINK("#'Chk Instructions-Where to Look'!A56", "System")</f>
        <v>System</v>
      </c>
      <c r="B67" s="7" t="s">
        <v>49</v>
      </c>
      <c r="C67" s="42" t="s">
        <v>32</v>
      </c>
      <c r="D67" s="7" t="s">
        <v>230</v>
      </c>
      <c r="E67" s="34"/>
      <c r="F67" s="36" t="s">
        <v>30</v>
      </c>
      <c r="G67" s="9"/>
      <c r="H67" s="9"/>
      <c r="I67" s="8"/>
      <c r="J67" s="9"/>
    </row>
    <row r="68" spans="1:10" ht="29" x14ac:dyDescent="0.35">
      <c r="A68" s="64" t="str">
        <f>HYPERLINK("#'Chk Instructions-Where to Look'!A57", "System")</f>
        <v>System</v>
      </c>
      <c r="B68" s="7" t="s">
        <v>31</v>
      </c>
      <c r="C68" s="42" t="s">
        <v>32</v>
      </c>
      <c r="D68" s="7" t="s">
        <v>231</v>
      </c>
      <c r="E68" s="34"/>
      <c r="F68" s="36" t="s">
        <v>30</v>
      </c>
      <c r="G68" s="9"/>
      <c r="H68" s="9"/>
      <c r="I68" s="8"/>
      <c r="J68" s="9"/>
    </row>
    <row r="69" spans="1:10" ht="29" x14ac:dyDescent="0.35">
      <c r="A69" s="64" t="str">
        <f>HYPERLINK("#'Chk Instructions-Where to Look'!A58", "System")</f>
        <v>System</v>
      </c>
      <c r="B69" s="7" t="s">
        <v>31</v>
      </c>
      <c r="C69" s="42" t="s">
        <v>32</v>
      </c>
      <c r="D69" s="7" t="s">
        <v>75</v>
      </c>
      <c r="E69" s="34"/>
      <c r="F69" s="36" t="s">
        <v>30</v>
      </c>
      <c r="G69" s="9"/>
      <c r="H69" s="9"/>
      <c r="I69" s="8"/>
      <c r="J69" s="9"/>
    </row>
    <row r="70" spans="1:10" ht="29" x14ac:dyDescent="0.35">
      <c r="A70" s="64" t="str">
        <f>HYPERLINK("#'Chk Instructions-Where to Look'!A59", "System")</f>
        <v>System</v>
      </c>
      <c r="B70" s="7" t="s">
        <v>49</v>
      </c>
      <c r="C70" s="42" t="s">
        <v>32</v>
      </c>
      <c r="D70" s="7" t="s">
        <v>76</v>
      </c>
      <c r="E70" s="34"/>
      <c r="F70" s="36" t="s">
        <v>30</v>
      </c>
      <c r="G70" s="9"/>
      <c r="H70" s="9"/>
      <c r="I70" s="8"/>
      <c r="J70" s="9"/>
    </row>
    <row r="71" spans="1:10" ht="30.75" customHeight="1" x14ac:dyDescent="0.35">
      <c r="A71" s="106"/>
      <c r="B71" s="107" t="s">
        <v>77</v>
      </c>
      <c r="C71" s="107"/>
      <c r="D71" s="108"/>
      <c r="E71" s="109"/>
      <c r="F71" s="108"/>
      <c r="G71" s="108"/>
      <c r="H71" s="108"/>
      <c r="I71" s="108"/>
      <c r="J71" s="110"/>
    </row>
    <row r="72" spans="1:10" ht="29" x14ac:dyDescent="0.35">
      <c r="A72" s="64" t="str">
        <f>HYPERLINK("#'Chk Instructions-Where to Look'!A60", "System")</f>
        <v>System</v>
      </c>
      <c r="B72" s="7" t="s">
        <v>49</v>
      </c>
      <c r="C72" s="42" t="s">
        <v>32</v>
      </c>
      <c r="D72" s="7" t="s">
        <v>78</v>
      </c>
      <c r="E72" s="34"/>
      <c r="F72" s="36" t="s">
        <v>30</v>
      </c>
      <c r="G72" s="9"/>
      <c r="H72" s="9"/>
      <c r="I72" s="8"/>
      <c r="J72" s="9"/>
    </row>
    <row r="73" spans="1:10" ht="29" x14ac:dyDescent="0.35">
      <c r="A73" s="64" t="str">
        <f>HYPERLINK("#'Chk Instructions-Where to Look'!A61", "System")</f>
        <v>System</v>
      </c>
      <c r="B73" s="7" t="s">
        <v>49</v>
      </c>
      <c r="C73" s="42" t="s">
        <v>32</v>
      </c>
      <c r="D73" s="7" t="s">
        <v>79</v>
      </c>
      <c r="E73" s="34"/>
      <c r="F73" s="36" t="s">
        <v>30</v>
      </c>
      <c r="G73" s="9"/>
      <c r="H73" s="9"/>
      <c r="I73" s="8"/>
      <c r="J73" s="9"/>
    </row>
    <row r="74" spans="1:10" ht="30" customHeight="1" x14ac:dyDescent="0.35">
      <c r="A74" s="106"/>
      <c r="B74" s="107" t="s">
        <v>80</v>
      </c>
      <c r="C74" s="107"/>
      <c r="D74" s="108"/>
      <c r="E74" s="109"/>
      <c r="F74" s="108"/>
      <c r="G74" s="108"/>
      <c r="H74" s="108"/>
      <c r="I74" s="108"/>
      <c r="J74" s="110"/>
    </row>
    <row r="75" spans="1:10" ht="58" x14ac:dyDescent="0.35">
      <c r="A75" s="64" t="str">
        <f>HYPERLINK("#'Chk Instructions-Where to Look'!A62", "System")</f>
        <v>System</v>
      </c>
      <c r="B75" s="7" t="s">
        <v>208</v>
      </c>
      <c r="C75" s="42" t="s">
        <v>32</v>
      </c>
      <c r="D75" s="7" t="s">
        <v>81</v>
      </c>
      <c r="E75" s="34"/>
      <c r="F75" s="36" t="s">
        <v>39</v>
      </c>
      <c r="G75" s="9"/>
      <c r="H75" s="9"/>
      <c r="I75" s="8"/>
      <c r="J75" s="9"/>
    </row>
    <row r="76" spans="1:10" ht="58" x14ac:dyDescent="0.35">
      <c r="A76" s="64" t="str">
        <f>HYPERLINK("#'Chk Instructions-Where to Look'!A63", "System")</f>
        <v>System</v>
      </c>
      <c r="B76" s="7" t="s">
        <v>208</v>
      </c>
      <c r="C76" s="42" t="s">
        <v>32</v>
      </c>
      <c r="D76" s="7" t="s">
        <v>197</v>
      </c>
      <c r="E76" s="34"/>
      <c r="F76" s="36" t="s">
        <v>39</v>
      </c>
      <c r="G76" s="9"/>
      <c r="H76" s="9"/>
      <c r="I76" s="8"/>
      <c r="J76" s="9"/>
    </row>
    <row r="77" spans="1:10" ht="22.5" customHeight="1" x14ac:dyDescent="0.35">
      <c r="A77" s="113"/>
      <c r="B77" s="107" t="s">
        <v>83</v>
      </c>
      <c r="C77" s="107"/>
      <c r="D77" s="108"/>
      <c r="E77" s="94"/>
      <c r="F77" s="93"/>
      <c r="G77" s="93"/>
      <c r="H77" s="93"/>
      <c r="I77" s="93"/>
      <c r="J77" s="95"/>
    </row>
    <row r="78" spans="1:10" ht="29" x14ac:dyDescent="0.35">
      <c r="A78" s="121" t="str">
        <f>HYPERLINK("#'Chk Instructions-Where to Look'!A64", "Controls")</f>
        <v>Controls</v>
      </c>
      <c r="B78" s="122" t="s">
        <v>49</v>
      </c>
      <c r="C78" s="124"/>
      <c r="D78" s="122" t="s">
        <v>84</v>
      </c>
      <c r="E78" s="125"/>
      <c r="F78" s="82"/>
      <c r="G78" s="9"/>
      <c r="H78" s="87"/>
      <c r="I78" s="88"/>
      <c r="J78" s="89"/>
    </row>
    <row r="79" spans="1:10" ht="43.5" x14ac:dyDescent="0.35">
      <c r="A79" s="121" t="str">
        <f>HYPERLINK("#'Chk Instructions-Where to Look'!A65", "Controls")</f>
        <v>Controls</v>
      </c>
      <c r="B79" s="126" t="s">
        <v>49</v>
      </c>
      <c r="C79" s="124"/>
      <c r="D79" s="122" t="s">
        <v>85</v>
      </c>
      <c r="E79" s="125"/>
      <c r="F79" s="82" t="s">
        <v>39</v>
      </c>
      <c r="G79" s="9"/>
      <c r="H79" s="87"/>
      <c r="I79" s="88"/>
      <c r="J79" s="120"/>
    </row>
    <row r="80" spans="1:10" ht="87" x14ac:dyDescent="0.35">
      <c r="A80" s="67" t="str">
        <f>HYPERLINK("#'Chk Instructions-Where to Look'!A66", "Controls")</f>
        <v>Controls</v>
      </c>
      <c r="B80" s="56" t="s">
        <v>213</v>
      </c>
      <c r="C80" s="123" t="s">
        <v>32</v>
      </c>
      <c r="D80" s="68" t="s">
        <v>216</v>
      </c>
      <c r="E80" s="34"/>
      <c r="F80" s="36" t="s">
        <v>39</v>
      </c>
      <c r="G80" s="9"/>
      <c r="H80" s="36"/>
      <c r="I80" s="9"/>
      <c r="J80" s="9"/>
    </row>
    <row r="81" spans="1:10" ht="58" x14ac:dyDescent="0.35">
      <c r="A81" s="64" t="str">
        <f>HYPERLINK("#'Chk Instructions-Where to Look'!A67", "Controls")</f>
        <v>Controls</v>
      </c>
      <c r="B81" s="7" t="s">
        <v>208</v>
      </c>
      <c r="C81" s="42" t="s">
        <v>32</v>
      </c>
      <c r="D81" s="68" t="s">
        <v>204</v>
      </c>
      <c r="E81" s="34"/>
      <c r="F81" s="36" t="s">
        <v>39</v>
      </c>
      <c r="G81" s="9"/>
      <c r="H81" s="36"/>
      <c r="I81" s="9"/>
      <c r="J81" s="9"/>
    </row>
    <row r="82" spans="1:10" ht="43.5" x14ac:dyDescent="0.35">
      <c r="A82" s="71" t="str">
        <f>HYPERLINK("#'Chk Instructions-Where to Look'!A68", "Controls")</f>
        <v>Controls</v>
      </c>
      <c r="B82" s="72" t="s">
        <v>208</v>
      </c>
      <c r="C82" s="96"/>
      <c r="D82" s="72" t="s">
        <v>86</v>
      </c>
      <c r="E82" s="34"/>
      <c r="F82" s="97" t="s">
        <v>42</v>
      </c>
      <c r="G82" s="9"/>
      <c r="H82" s="97"/>
      <c r="I82" s="98"/>
      <c r="J82" s="100"/>
    </row>
    <row r="83" spans="1:10" ht="58" x14ac:dyDescent="0.35">
      <c r="A83" s="64" t="str">
        <f>HYPERLINK("#'Chk Instructions-Where to Look'!A69", "Controls")</f>
        <v>Controls</v>
      </c>
      <c r="B83" s="7" t="s">
        <v>49</v>
      </c>
      <c r="C83" s="42" t="s">
        <v>32</v>
      </c>
      <c r="D83" s="7" t="s">
        <v>87</v>
      </c>
      <c r="E83" s="34"/>
      <c r="F83" s="36" t="s">
        <v>39</v>
      </c>
      <c r="G83" s="9"/>
      <c r="H83" s="36"/>
      <c r="I83" s="9"/>
      <c r="J83" s="9"/>
    </row>
    <row r="84" spans="1:10" ht="29" x14ac:dyDescent="0.35">
      <c r="A84" s="64" t="str">
        <f>HYPERLINK("#'Chk Instructions-Where to Look'!A70", "Controls")</f>
        <v>Controls</v>
      </c>
      <c r="B84" s="7" t="s">
        <v>31</v>
      </c>
      <c r="C84" s="42" t="s">
        <v>32</v>
      </c>
      <c r="D84" s="7" t="s">
        <v>88</v>
      </c>
      <c r="E84" s="34"/>
      <c r="F84" s="36" t="s">
        <v>39</v>
      </c>
      <c r="G84" s="9"/>
      <c r="H84" s="36"/>
      <c r="I84" s="9"/>
      <c r="J84" s="9"/>
    </row>
    <row r="85" spans="1:10" ht="58" x14ac:dyDescent="0.35">
      <c r="A85" s="64" t="str">
        <f>HYPERLINK("#'Chk Instructions-Where to Look'!A71", "Controls")</f>
        <v>Controls</v>
      </c>
      <c r="B85" s="7" t="s">
        <v>31</v>
      </c>
      <c r="C85" s="42" t="s">
        <v>32</v>
      </c>
      <c r="D85" s="7" t="s">
        <v>89</v>
      </c>
      <c r="E85" s="34"/>
      <c r="F85" s="36" t="s">
        <v>39</v>
      </c>
      <c r="G85" s="9"/>
      <c r="H85" s="36"/>
      <c r="I85" s="9"/>
      <c r="J85" s="9"/>
    </row>
    <row r="86" spans="1:10" ht="29" x14ac:dyDescent="0.35">
      <c r="A86" s="64" t="str">
        <f>HYPERLINK("#'Chk Instructions-Where to Look'!A72", "Controls")</f>
        <v>Controls</v>
      </c>
      <c r="B86" s="55" t="s">
        <v>213</v>
      </c>
      <c r="C86" s="42" t="s">
        <v>32</v>
      </c>
      <c r="D86" s="7" t="s">
        <v>90</v>
      </c>
      <c r="E86" s="34"/>
      <c r="F86" s="36" t="s">
        <v>39</v>
      </c>
      <c r="G86" s="9"/>
      <c r="H86" s="36"/>
      <c r="I86" s="9"/>
      <c r="J86" s="9"/>
    </row>
    <row r="87" spans="1:10" ht="29" x14ac:dyDescent="0.35">
      <c r="A87" s="64" t="str">
        <f>HYPERLINK("#'Chk Instructions-Where to Look'!A73", "Controls")</f>
        <v>Controls</v>
      </c>
      <c r="B87" s="7" t="s">
        <v>208</v>
      </c>
      <c r="C87" s="42" t="s">
        <v>32</v>
      </c>
      <c r="D87" s="7" t="s">
        <v>198</v>
      </c>
      <c r="E87" s="34"/>
      <c r="F87" s="36" t="s">
        <v>39</v>
      </c>
      <c r="G87" s="9"/>
      <c r="H87" s="36"/>
      <c r="I87" s="9"/>
      <c r="J87" s="9"/>
    </row>
    <row r="88" spans="1:10" ht="87" x14ac:dyDescent="0.35">
      <c r="A88" s="64" t="str">
        <f>HYPERLINK("#'Chk Instructions-Where to Look'!A74", "Controls")</f>
        <v>Controls</v>
      </c>
      <c r="B88" s="7" t="s">
        <v>208</v>
      </c>
      <c r="C88" s="42" t="s">
        <v>32</v>
      </c>
      <c r="D88" s="7" t="s">
        <v>199</v>
      </c>
      <c r="E88" s="34"/>
      <c r="F88" s="36" t="s">
        <v>39</v>
      </c>
      <c r="G88" s="9"/>
      <c r="H88" s="36"/>
      <c r="I88" s="9"/>
      <c r="J88" s="9"/>
    </row>
    <row r="89" spans="1:10" x14ac:dyDescent="0.35">
      <c r="A89" s="113"/>
      <c r="B89" s="107" t="s">
        <v>91</v>
      </c>
      <c r="C89" s="107"/>
      <c r="D89" s="108"/>
      <c r="E89" s="109"/>
      <c r="F89" s="108"/>
      <c r="G89" s="108"/>
      <c r="H89" s="108"/>
      <c r="I89" s="108"/>
      <c r="J89" s="110"/>
    </row>
    <row r="90" spans="1:10" ht="29" x14ac:dyDescent="0.35">
      <c r="A90" s="64" t="str">
        <f>HYPERLINK("#'Chk Instructions-Where to Look'!A75", "Controls")</f>
        <v>Controls</v>
      </c>
      <c r="B90" s="7" t="s">
        <v>49</v>
      </c>
      <c r="C90" s="42" t="s">
        <v>32</v>
      </c>
      <c r="D90" s="7" t="s">
        <v>92</v>
      </c>
      <c r="E90" s="34"/>
      <c r="F90" s="36" t="s">
        <v>39</v>
      </c>
      <c r="G90" s="36"/>
      <c r="H90" s="36"/>
      <c r="I90" s="9"/>
      <c r="J90" s="9"/>
    </row>
    <row r="91" spans="1:10" ht="29" x14ac:dyDescent="0.35">
      <c r="A91" s="64" t="str">
        <f>HYPERLINK("#'Chk Instructions-Where to Look'!A76", "Controls")</f>
        <v>Controls</v>
      </c>
      <c r="B91" s="7" t="s">
        <v>49</v>
      </c>
      <c r="C91" s="42" t="s">
        <v>32</v>
      </c>
      <c r="D91" s="7" t="s">
        <v>93</v>
      </c>
      <c r="E91" s="34"/>
      <c r="F91" s="36" t="s">
        <v>39</v>
      </c>
      <c r="G91" s="36"/>
      <c r="H91" s="36"/>
      <c r="I91" s="9"/>
      <c r="J91" s="9"/>
    </row>
    <row r="92" spans="1:10" ht="29" x14ac:dyDescent="0.35">
      <c r="A92" s="64" t="str">
        <f>HYPERLINK("#'Chk Instructions-Where to Look'!A77", "Controls")</f>
        <v>Controls</v>
      </c>
      <c r="B92" s="7" t="s">
        <v>49</v>
      </c>
      <c r="C92" s="42" t="s">
        <v>32</v>
      </c>
      <c r="D92" s="7" t="s">
        <v>94</v>
      </c>
      <c r="E92" s="34"/>
      <c r="F92" s="36" t="s">
        <v>39</v>
      </c>
      <c r="G92" s="36"/>
      <c r="H92" s="38"/>
      <c r="I92" s="9"/>
      <c r="J92" s="9"/>
    </row>
    <row r="93" spans="1:10" ht="72.5" x14ac:dyDescent="0.35">
      <c r="A93" s="64" t="str">
        <f>HYPERLINK("#'Chk Instructions-Where to Look'!A78", "Controls")</f>
        <v>Controls</v>
      </c>
      <c r="B93" s="7" t="s">
        <v>49</v>
      </c>
      <c r="C93" s="42" t="s">
        <v>32</v>
      </c>
      <c r="D93" s="7" t="s">
        <v>95</v>
      </c>
      <c r="E93" s="34"/>
      <c r="F93" s="36" t="s">
        <v>39</v>
      </c>
      <c r="G93" s="36"/>
      <c r="H93" s="36"/>
      <c r="I93" s="9"/>
      <c r="J93" s="9"/>
    </row>
    <row r="94" spans="1:10" ht="43.5" x14ac:dyDescent="0.35">
      <c r="A94" s="64" t="str">
        <f>HYPERLINK("#'Chk Instructions-Where to Look'!A79", "Controls")</f>
        <v>Controls</v>
      </c>
      <c r="B94" s="7" t="s">
        <v>49</v>
      </c>
      <c r="C94" s="42" t="s">
        <v>32</v>
      </c>
      <c r="D94" s="7" t="s">
        <v>241</v>
      </c>
      <c r="E94" s="34"/>
      <c r="F94" s="36" t="s">
        <v>42</v>
      </c>
      <c r="G94" s="36"/>
      <c r="H94" s="38"/>
      <c r="I94" s="9"/>
      <c r="J94" s="9"/>
    </row>
    <row r="95" spans="1:10" ht="29" x14ac:dyDescent="0.35">
      <c r="A95" s="64" t="str">
        <f>HYPERLINK("#'Chk Instructions-Where to Look'!A80", "Controls")</f>
        <v>Controls</v>
      </c>
      <c r="B95" s="7" t="s">
        <v>49</v>
      </c>
      <c r="C95" s="42" t="s">
        <v>32</v>
      </c>
      <c r="D95" s="7" t="s">
        <v>96</v>
      </c>
      <c r="E95" s="34"/>
      <c r="F95" s="36" t="s">
        <v>42</v>
      </c>
      <c r="G95" s="36"/>
      <c r="H95" s="38"/>
      <c r="I95" s="9"/>
      <c r="J95" s="9"/>
    </row>
    <row r="96" spans="1:10" ht="29" x14ac:dyDescent="0.35">
      <c r="A96" s="64" t="str">
        <f>HYPERLINK("#'Chk Instructions-Where to Look'!A81", "Controls")</f>
        <v>Controls</v>
      </c>
      <c r="B96" s="7" t="s">
        <v>49</v>
      </c>
      <c r="C96" s="42" t="s">
        <v>32</v>
      </c>
      <c r="D96" s="7" t="s">
        <v>97</v>
      </c>
      <c r="E96" s="34"/>
      <c r="F96" s="36" t="s">
        <v>42</v>
      </c>
      <c r="G96" s="36"/>
      <c r="H96" s="38"/>
      <c r="I96" s="9"/>
      <c r="J96" s="9"/>
    </row>
    <row r="97" spans="1:10" x14ac:dyDescent="0.35">
      <c r="A97" s="113"/>
      <c r="B97" s="107" t="s">
        <v>98</v>
      </c>
      <c r="C97" s="107"/>
      <c r="D97" s="108"/>
      <c r="E97" s="109"/>
      <c r="F97" s="108"/>
      <c r="G97" s="108"/>
      <c r="H97" s="108"/>
      <c r="I97" s="108"/>
      <c r="J97" s="110"/>
    </row>
    <row r="98" spans="1:10" ht="29" x14ac:dyDescent="0.35">
      <c r="A98" s="64" t="str">
        <f>HYPERLINK("#'Chk Instructions-Where to Look'!A82", "Controls")</f>
        <v>Controls</v>
      </c>
      <c r="B98" s="7" t="s">
        <v>49</v>
      </c>
      <c r="C98" s="42" t="s">
        <v>32</v>
      </c>
      <c r="D98" s="7" t="s">
        <v>99</v>
      </c>
      <c r="E98" s="34"/>
      <c r="F98" s="36" t="s">
        <v>39</v>
      </c>
      <c r="G98" s="36"/>
      <c r="H98" s="36"/>
      <c r="I98" s="9"/>
      <c r="J98" s="9"/>
    </row>
    <row r="99" spans="1:10" ht="29" x14ac:dyDescent="0.35">
      <c r="A99" s="67" t="str">
        <f>HYPERLINK("#'Chk Instructions-Where to Look'!A83", "Controls")</f>
        <v>Controls</v>
      </c>
      <c r="B99" s="68" t="s">
        <v>208</v>
      </c>
      <c r="C99" s="42" t="s">
        <v>32</v>
      </c>
      <c r="D99" s="68" t="s">
        <v>217</v>
      </c>
      <c r="E99" s="34"/>
      <c r="F99" s="102" t="s">
        <v>39</v>
      </c>
      <c r="G99" s="102"/>
      <c r="H99" s="102"/>
      <c r="I99" s="103"/>
      <c r="J99" s="105"/>
    </row>
    <row r="100" spans="1:10" ht="43.5" x14ac:dyDescent="0.35">
      <c r="A100" s="64" t="str">
        <f>HYPERLINK("#'Chk Instructions-Where to Look'!A84", "Controls")</f>
        <v>Controls</v>
      </c>
      <c r="B100" s="7" t="s">
        <v>49</v>
      </c>
      <c r="C100" s="42" t="s">
        <v>32</v>
      </c>
      <c r="D100" s="7" t="s">
        <v>100</v>
      </c>
      <c r="E100" s="34"/>
      <c r="F100" s="36" t="s">
        <v>30</v>
      </c>
      <c r="G100" s="36"/>
      <c r="H100" s="36"/>
      <c r="I100" s="9"/>
      <c r="J100" s="10"/>
    </row>
    <row r="101" spans="1:10" ht="29" x14ac:dyDescent="0.35">
      <c r="A101" s="64" t="str">
        <f>HYPERLINK("#'Chk Instructions-Where to Look'!A85", "Controls")</f>
        <v>Controls</v>
      </c>
      <c r="B101" s="7" t="s">
        <v>49</v>
      </c>
      <c r="C101" s="42" t="s">
        <v>32</v>
      </c>
      <c r="D101" s="7" t="s">
        <v>101</v>
      </c>
      <c r="E101" s="34"/>
      <c r="F101" s="36" t="s">
        <v>30</v>
      </c>
      <c r="G101" s="36"/>
      <c r="H101" s="36"/>
      <c r="I101" s="9"/>
      <c r="J101" s="10"/>
    </row>
    <row r="102" spans="1:10" ht="29" x14ac:dyDescent="0.35">
      <c r="A102" s="64" t="str">
        <f>HYPERLINK("#'Chk Instructions-Where to Look'!A86", "Controls")</f>
        <v>Controls</v>
      </c>
      <c r="B102" s="7" t="s">
        <v>49</v>
      </c>
      <c r="C102" s="42" t="s">
        <v>32</v>
      </c>
      <c r="D102" s="7" t="s">
        <v>102</v>
      </c>
      <c r="E102" s="34"/>
      <c r="F102" s="36" t="s">
        <v>30</v>
      </c>
      <c r="G102" s="36"/>
      <c r="H102" s="36"/>
      <c r="I102" s="9"/>
      <c r="J102" s="10"/>
    </row>
    <row r="103" spans="1:10" ht="29" x14ac:dyDescent="0.35">
      <c r="A103" s="64" t="str">
        <f>HYPERLINK("#'Chk Instructions-Where to Look'!A87", "Controls")</f>
        <v>Controls</v>
      </c>
      <c r="B103" s="7" t="s">
        <v>208</v>
      </c>
      <c r="C103" s="42" t="s">
        <v>32</v>
      </c>
      <c r="D103" s="7" t="s">
        <v>103</v>
      </c>
      <c r="E103" s="34"/>
      <c r="F103" s="36" t="s">
        <v>39</v>
      </c>
      <c r="G103" s="36"/>
      <c r="H103" s="36"/>
      <c r="I103" s="9"/>
      <c r="J103" s="10"/>
    </row>
    <row r="104" spans="1:10" ht="43.5" x14ac:dyDescent="0.35">
      <c r="A104" s="64" t="str">
        <f>HYPERLINK("#'Chk Instructions-Where to Look'!A88", "Controls")</f>
        <v>Controls</v>
      </c>
      <c r="B104" s="55" t="s">
        <v>213</v>
      </c>
      <c r="C104" s="42" t="s">
        <v>32</v>
      </c>
      <c r="D104" s="7" t="s">
        <v>242</v>
      </c>
      <c r="E104" s="34"/>
      <c r="F104" s="36" t="s">
        <v>42</v>
      </c>
      <c r="G104" s="36"/>
      <c r="H104" s="36"/>
      <c r="I104" s="9"/>
      <c r="J104" s="10"/>
    </row>
    <row r="105" spans="1:10" ht="29" x14ac:dyDescent="0.35">
      <c r="A105" s="69" t="str">
        <f>HYPERLINK("#'Chk Instructions-Where to Look'!A89", "Controls")</f>
        <v>Controls</v>
      </c>
      <c r="B105" s="70" t="s">
        <v>208</v>
      </c>
      <c r="C105" s="42" t="s">
        <v>32</v>
      </c>
      <c r="D105" s="7" t="s">
        <v>243</v>
      </c>
      <c r="E105" s="34"/>
      <c r="F105" s="36" t="s">
        <v>39</v>
      </c>
      <c r="G105" s="36"/>
      <c r="H105" s="36"/>
      <c r="I105" s="9"/>
      <c r="J105" s="10"/>
    </row>
    <row r="106" spans="1:10" x14ac:dyDescent="0.35">
      <c r="A106" s="90"/>
      <c r="B106" s="57" t="s">
        <v>104</v>
      </c>
      <c r="C106" s="57"/>
      <c r="D106" s="58"/>
      <c r="E106" s="59"/>
      <c r="F106" s="58"/>
      <c r="G106" s="58"/>
      <c r="H106" s="58"/>
      <c r="I106" s="58"/>
      <c r="J106" s="60"/>
    </row>
    <row r="107" spans="1:10" ht="29" x14ac:dyDescent="0.35">
      <c r="A107" s="64" t="str">
        <f>HYPERLINK("#'Chk Instructions-Where to Look'!A90", "Assets")</f>
        <v>Assets</v>
      </c>
      <c r="B107" s="7" t="s">
        <v>49</v>
      </c>
      <c r="C107" s="42" t="s">
        <v>32</v>
      </c>
      <c r="D107" s="7" t="s">
        <v>105</v>
      </c>
      <c r="E107" s="34"/>
      <c r="F107" s="36" t="s">
        <v>39</v>
      </c>
      <c r="G107" s="36"/>
      <c r="H107" s="9"/>
      <c r="I107" s="9"/>
      <c r="J107" s="9"/>
    </row>
    <row r="108" spans="1:10" ht="29" x14ac:dyDescent="0.35">
      <c r="A108" s="71" t="str">
        <f>HYPERLINK("#'Chk Instructions-Where to Look'!A91", "Assets")</f>
        <v>Assets</v>
      </c>
      <c r="B108" s="72" t="s">
        <v>49</v>
      </c>
      <c r="C108" s="101"/>
      <c r="D108" s="68" t="s">
        <v>106</v>
      </c>
      <c r="E108" s="34"/>
      <c r="F108" s="102" t="s">
        <v>39</v>
      </c>
      <c r="G108" s="102"/>
      <c r="H108" s="103"/>
      <c r="I108" s="103"/>
      <c r="J108" s="105"/>
    </row>
    <row r="109" spans="1:10" x14ac:dyDescent="0.35">
      <c r="A109" s="90"/>
      <c r="B109" s="57" t="s">
        <v>107</v>
      </c>
      <c r="C109" s="57"/>
      <c r="D109" s="58"/>
      <c r="E109" s="59"/>
      <c r="F109" s="58"/>
      <c r="G109" s="58"/>
      <c r="H109" s="58"/>
      <c r="I109" s="58"/>
      <c r="J109" s="60"/>
    </row>
    <row r="110" spans="1:10" ht="29" x14ac:dyDescent="0.35">
      <c r="A110" s="64" t="str">
        <f>HYPERLINK("#'Chk Instructions-Where to Look'!A92", "Assets")</f>
        <v>Assets</v>
      </c>
      <c r="B110" s="7" t="s">
        <v>49</v>
      </c>
      <c r="C110" s="42" t="s">
        <v>32</v>
      </c>
      <c r="D110" s="7" t="s">
        <v>108</v>
      </c>
      <c r="E110" s="34"/>
      <c r="F110" s="36" t="s">
        <v>39</v>
      </c>
      <c r="G110" s="36"/>
      <c r="H110" s="9"/>
      <c r="I110" s="9"/>
      <c r="J110" s="9"/>
    </row>
    <row r="111" spans="1:10" ht="29" x14ac:dyDescent="0.35">
      <c r="A111" s="64" t="str">
        <f>HYPERLINK("#'Chk Instructions-Where to Look'!A93", "Assets")</f>
        <v>Assets</v>
      </c>
      <c r="B111" s="7" t="s">
        <v>49</v>
      </c>
      <c r="C111" s="42" t="s">
        <v>32</v>
      </c>
      <c r="D111" s="7" t="s">
        <v>109</v>
      </c>
      <c r="E111" s="34"/>
      <c r="F111" s="36" t="s">
        <v>39</v>
      </c>
      <c r="G111" s="36"/>
      <c r="H111" s="9"/>
      <c r="I111" s="9"/>
      <c r="J111" s="9"/>
    </row>
    <row r="112" spans="1:10" ht="37.5" customHeight="1" x14ac:dyDescent="0.35">
      <c r="A112" s="113"/>
      <c r="B112" s="107" t="s">
        <v>110</v>
      </c>
      <c r="C112" s="107"/>
      <c r="D112" s="108"/>
      <c r="E112" s="109"/>
      <c r="F112" s="108"/>
      <c r="G112" s="108"/>
      <c r="H112" s="108"/>
      <c r="I112" s="108"/>
      <c r="J112" s="110"/>
    </row>
    <row r="113" spans="1:10" ht="29" x14ac:dyDescent="0.35">
      <c r="A113" s="64" t="str">
        <f>HYPERLINK("#'Chk Instructions-Where to Look'!A94", "Assets")</f>
        <v>Assets</v>
      </c>
      <c r="B113" s="7" t="s">
        <v>208</v>
      </c>
      <c r="C113" s="42" t="s">
        <v>32</v>
      </c>
      <c r="D113" s="7" t="s">
        <v>111</v>
      </c>
      <c r="E113" s="34"/>
      <c r="F113" s="36" t="s">
        <v>39</v>
      </c>
      <c r="G113" s="36"/>
      <c r="H113" s="9"/>
      <c r="I113" s="9"/>
      <c r="J113" s="9"/>
    </row>
    <row r="114" spans="1:10" ht="29" x14ac:dyDescent="0.35">
      <c r="A114" s="64" t="str">
        <f>HYPERLINK("#'Chk Instructions-Where to Look'!A95", "Assets")</f>
        <v>Assets</v>
      </c>
      <c r="B114" s="55" t="s">
        <v>213</v>
      </c>
      <c r="C114" s="42" t="s">
        <v>32</v>
      </c>
      <c r="D114" s="7" t="s">
        <v>112</v>
      </c>
      <c r="E114" s="34"/>
      <c r="F114" s="36" t="s">
        <v>39</v>
      </c>
      <c r="G114" s="36"/>
      <c r="H114" s="9"/>
      <c r="I114" s="9"/>
      <c r="J114" s="9"/>
    </row>
    <row r="115" spans="1:10" ht="29" x14ac:dyDescent="0.35">
      <c r="A115" s="64" t="str">
        <f>HYPERLINK("#'Chk Instructions-Where to Look'!A96", "Assets")</f>
        <v>Assets</v>
      </c>
      <c r="B115" s="55" t="s">
        <v>213</v>
      </c>
      <c r="C115" s="42" t="s">
        <v>32</v>
      </c>
      <c r="D115" s="7" t="s">
        <v>113</v>
      </c>
      <c r="E115" s="34"/>
      <c r="F115" s="36" t="s">
        <v>39</v>
      </c>
      <c r="G115" s="36"/>
      <c r="H115" s="9"/>
      <c r="I115" s="9"/>
      <c r="J115" s="9"/>
    </row>
    <row r="116" spans="1:10" ht="43.5" x14ac:dyDescent="0.35">
      <c r="A116" s="71" t="str">
        <f>HYPERLINK("#'Chk Instructions-Where to Look'!A97", "Assets")</f>
        <v>Assets</v>
      </c>
      <c r="B116" s="114" t="s">
        <v>213</v>
      </c>
      <c r="C116" s="96"/>
      <c r="D116" s="72" t="s">
        <v>114</v>
      </c>
      <c r="E116" s="34"/>
      <c r="F116" s="97" t="s">
        <v>39</v>
      </c>
      <c r="G116" s="97"/>
      <c r="H116" s="98"/>
      <c r="I116" s="98"/>
      <c r="J116" s="100"/>
    </row>
    <row r="117" spans="1:10" x14ac:dyDescent="0.35">
      <c r="A117" s="112"/>
      <c r="B117" s="92" t="s">
        <v>115</v>
      </c>
      <c r="C117" s="92"/>
      <c r="D117" s="93"/>
      <c r="E117" s="94"/>
      <c r="F117" s="93"/>
      <c r="G117" s="93"/>
      <c r="H117" s="93"/>
      <c r="I117" s="93"/>
      <c r="J117" s="95"/>
    </row>
    <row r="118" spans="1:10" ht="29" x14ac:dyDescent="0.35">
      <c r="A118" s="67" t="str">
        <f>HYPERLINK("#'Chk Instructions-Where to Look'!A99", "Assets")</f>
        <v>Assets</v>
      </c>
      <c r="B118" s="56" t="s">
        <v>213</v>
      </c>
      <c r="C118" s="35"/>
      <c r="D118" s="7" t="s">
        <v>244</v>
      </c>
      <c r="E118" s="34"/>
      <c r="F118" s="36" t="s">
        <v>39</v>
      </c>
      <c r="G118" s="36"/>
      <c r="H118" s="9"/>
      <c r="I118" s="9"/>
      <c r="J118" s="10"/>
    </row>
    <row r="119" spans="1:10" ht="43.5" x14ac:dyDescent="0.35">
      <c r="A119" s="69" t="str">
        <f>HYPERLINK("#'Chk Instructions-Where to Look'!A100", "Assets")</f>
        <v>Assets</v>
      </c>
      <c r="B119" s="70" t="s">
        <v>208</v>
      </c>
      <c r="C119" s="35"/>
      <c r="D119" s="7" t="s">
        <v>116</v>
      </c>
      <c r="E119" s="34"/>
      <c r="F119" s="36" t="s">
        <v>42</v>
      </c>
      <c r="G119" s="36"/>
      <c r="H119" s="8"/>
      <c r="I119" s="8"/>
      <c r="J119" s="10"/>
    </row>
    <row r="120" spans="1:10" ht="28.5" customHeight="1" x14ac:dyDescent="0.35">
      <c r="A120" s="90"/>
      <c r="B120" s="57" t="s">
        <v>117</v>
      </c>
      <c r="C120" s="57"/>
      <c r="D120" s="58"/>
      <c r="E120" s="59"/>
      <c r="F120" s="58"/>
      <c r="G120" s="58"/>
      <c r="H120" s="58"/>
      <c r="I120" s="58"/>
      <c r="J120" s="60"/>
    </row>
    <row r="121" spans="1:10" ht="116" x14ac:dyDescent="0.35">
      <c r="A121" s="64" t="str">
        <f>HYPERLINK("#'Chk Instructions-Where to Look'!A101", "Assets")</f>
        <v>Assets</v>
      </c>
      <c r="B121" s="7" t="s">
        <v>208</v>
      </c>
      <c r="C121" s="42" t="s">
        <v>32</v>
      </c>
      <c r="D121" s="7" t="s">
        <v>200</v>
      </c>
      <c r="E121" s="34"/>
      <c r="F121" s="36" t="s">
        <v>39</v>
      </c>
      <c r="G121" s="9"/>
      <c r="H121" s="9"/>
      <c r="I121" s="9"/>
      <c r="J121" s="9"/>
    </row>
    <row r="122" spans="1:10" x14ac:dyDescent="0.35">
      <c r="A122" s="112"/>
      <c r="B122" s="92" t="s">
        <v>118</v>
      </c>
      <c r="C122" s="92"/>
      <c r="D122" s="93"/>
      <c r="E122" s="94"/>
      <c r="F122" s="93"/>
      <c r="G122" s="93"/>
      <c r="H122" s="93"/>
      <c r="I122" s="93"/>
      <c r="J122" s="95"/>
    </row>
    <row r="123" spans="1:10" ht="43.5" x14ac:dyDescent="0.35">
      <c r="A123" s="63" t="str">
        <f>HYPERLINK("#'Chk Instructions-Where to Look'!A102", "Assets")</f>
        <v>Assets</v>
      </c>
      <c r="B123" s="72" t="s">
        <v>208</v>
      </c>
      <c r="C123" s="35"/>
      <c r="D123" s="7" t="s">
        <v>119</v>
      </c>
      <c r="E123" s="34"/>
      <c r="F123" s="36" t="s">
        <v>39</v>
      </c>
      <c r="G123" s="36"/>
      <c r="H123" s="9"/>
      <c r="I123" s="9"/>
      <c r="J123" s="10"/>
    </row>
    <row r="124" spans="1:10" x14ac:dyDescent="0.35">
      <c r="A124" s="73"/>
      <c r="B124" s="53" t="s">
        <v>120</v>
      </c>
      <c r="C124" s="53"/>
      <c r="D124" s="39"/>
      <c r="E124" s="40"/>
      <c r="F124" s="39"/>
      <c r="G124" s="39"/>
      <c r="H124" s="39"/>
      <c r="I124" s="39"/>
      <c r="J124" s="44"/>
    </row>
    <row r="125" spans="1:10" ht="87" x14ac:dyDescent="0.35">
      <c r="A125" s="67" t="str">
        <f>HYPERLINK("#'Chk Instructions-Where to Look'!A103", "Assets")</f>
        <v>Assets</v>
      </c>
      <c r="B125" s="68" t="s">
        <v>208</v>
      </c>
      <c r="C125" s="35"/>
      <c r="D125" s="7" t="s">
        <v>121</v>
      </c>
      <c r="E125" s="34"/>
      <c r="F125" s="36" t="s">
        <v>39</v>
      </c>
      <c r="G125" s="36"/>
      <c r="H125" s="9"/>
      <c r="I125" s="9"/>
      <c r="J125" s="10"/>
    </row>
    <row r="126" spans="1:10" ht="29" x14ac:dyDescent="0.35">
      <c r="A126" s="64" t="str">
        <f>HYPERLINK("#'Chk Instructions-Where to Look'!A104", "Assets")</f>
        <v>Assets</v>
      </c>
      <c r="B126" s="7" t="s">
        <v>208</v>
      </c>
      <c r="C126" s="35"/>
      <c r="D126" s="7" t="s">
        <v>122</v>
      </c>
      <c r="E126" s="34"/>
      <c r="F126" s="36" t="s">
        <v>39</v>
      </c>
      <c r="G126" s="36"/>
      <c r="H126" s="9"/>
      <c r="I126" s="9"/>
      <c r="J126" s="10"/>
    </row>
    <row r="127" spans="1:10" ht="43.5" x14ac:dyDescent="0.35">
      <c r="A127" s="64" t="str">
        <f>HYPERLINK("#'Chk Instructions-Where to Look'!A105", "Assets")</f>
        <v>Assets</v>
      </c>
      <c r="B127" s="7" t="s">
        <v>208</v>
      </c>
      <c r="C127" s="35"/>
      <c r="D127" s="7" t="s">
        <v>123</v>
      </c>
      <c r="E127" s="34"/>
      <c r="F127" s="36" t="s">
        <v>39</v>
      </c>
      <c r="G127" s="36"/>
      <c r="H127" s="9"/>
      <c r="I127" s="9"/>
      <c r="J127" s="10"/>
    </row>
    <row r="128" spans="1:10" ht="29" x14ac:dyDescent="0.35">
      <c r="A128" s="64" t="str">
        <f>HYPERLINK("#'Chk Instructions-Where to Look'!A106", "Assets")</f>
        <v>Assets</v>
      </c>
      <c r="B128" s="7" t="s">
        <v>31</v>
      </c>
      <c r="C128" s="35"/>
      <c r="D128" s="7" t="s">
        <v>124</v>
      </c>
      <c r="E128" s="34"/>
      <c r="F128" s="36" t="s">
        <v>30</v>
      </c>
      <c r="G128" s="9"/>
      <c r="H128" s="9"/>
      <c r="I128" s="9"/>
      <c r="J128" s="10"/>
    </row>
    <row r="129" spans="1:10" ht="29" x14ac:dyDescent="0.35">
      <c r="A129" s="69" t="str">
        <f>HYPERLINK("#'Chk Instructions-Where to Look'!A107", "Assets")</f>
        <v>Assets</v>
      </c>
      <c r="B129" s="70" t="s">
        <v>208</v>
      </c>
      <c r="C129" s="35"/>
      <c r="D129" s="7" t="s">
        <v>125</v>
      </c>
      <c r="E129" s="34"/>
      <c r="F129" s="36" t="s">
        <v>42</v>
      </c>
      <c r="G129" s="36"/>
      <c r="H129" s="9"/>
      <c r="I129" s="9"/>
      <c r="J129" s="10"/>
    </row>
    <row r="130" spans="1:10" x14ac:dyDescent="0.35">
      <c r="A130" s="73"/>
      <c r="B130" s="53" t="s">
        <v>126</v>
      </c>
      <c r="C130" s="53"/>
      <c r="D130" s="39"/>
      <c r="E130" s="40"/>
      <c r="F130" s="39"/>
      <c r="G130" s="39"/>
      <c r="H130" s="39"/>
      <c r="I130" s="39"/>
      <c r="J130" s="44"/>
    </row>
    <row r="131" spans="1:10" ht="29" x14ac:dyDescent="0.35">
      <c r="A131" s="74" t="str">
        <f>HYPERLINK("#'Chk Instructions-Where to Look'!A108", "Assets")</f>
        <v>Assets</v>
      </c>
      <c r="B131" s="68" t="s">
        <v>208</v>
      </c>
      <c r="C131" s="35"/>
      <c r="D131" s="7" t="s">
        <v>127</v>
      </c>
      <c r="E131" s="34"/>
      <c r="F131" s="36" t="s">
        <v>39</v>
      </c>
      <c r="G131" s="36"/>
      <c r="H131" s="9"/>
      <c r="I131" s="9"/>
      <c r="J131" s="10"/>
    </row>
    <row r="132" spans="1:10" ht="29" x14ac:dyDescent="0.35">
      <c r="A132" s="66" t="str">
        <f>HYPERLINK("#'Chk Instructions-Where to Look'!A109", "Assets")</f>
        <v>Assets</v>
      </c>
      <c r="B132" s="7" t="s">
        <v>208</v>
      </c>
      <c r="C132" s="35"/>
      <c r="D132" s="7" t="s">
        <v>128</v>
      </c>
      <c r="E132" s="34"/>
      <c r="F132" s="36" t="s">
        <v>39</v>
      </c>
      <c r="G132" s="36"/>
      <c r="H132" s="9"/>
      <c r="I132" s="9"/>
      <c r="J132" s="10"/>
    </row>
    <row r="133" spans="1:10" ht="29" x14ac:dyDescent="0.35">
      <c r="A133" s="66" t="str">
        <f>HYPERLINK("#'Chk Instructions-Where to Look'!A110", "Assets")</f>
        <v>Assets</v>
      </c>
      <c r="B133" s="7" t="s">
        <v>31</v>
      </c>
      <c r="C133" s="35"/>
      <c r="D133" s="7" t="s">
        <v>129</v>
      </c>
      <c r="E133" s="34"/>
      <c r="F133" s="36" t="s">
        <v>30</v>
      </c>
      <c r="G133" s="9"/>
      <c r="H133" s="9"/>
      <c r="I133" s="9"/>
      <c r="J133" s="10"/>
    </row>
    <row r="134" spans="1:10" ht="43.5" x14ac:dyDescent="0.35">
      <c r="A134" s="75" t="str">
        <f>HYPERLINK("#'Chk Instructions-Where to Look'!A111", "Assets")</f>
        <v>Assets</v>
      </c>
      <c r="B134" s="70" t="s">
        <v>208</v>
      </c>
      <c r="C134" s="35"/>
      <c r="D134" s="7" t="s">
        <v>130</v>
      </c>
      <c r="E134" s="34"/>
      <c r="F134" s="36" t="s">
        <v>42</v>
      </c>
      <c r="G134" s="36"/>
      <c r="H134" s="9"/>
      <c r="I134" s="9"/>
      <c r="J134" s="10"/>
    </row>
    <row r="135" spans="1:10" x14ac:dyDescent="0.35">
      <c r="A135" s="73"/>
      <c r="B135" s="53" t="s">
        <v>9</v>
      </c>
      <c r="C135" s="53"/>
      <c r="D135" s="39"/>
      <c r="E135" s="40"/>
      <c r="F135" s="39"/>
      <c r="G135" s="39"/>
      <c r="H135" s="39"/>
      <c r="I135" s="39"/>
      <c r="J135" s="44"/>
    </row>
    <row r="136" spans="1:10" ht="29" x14ac:dyDescent="0.35">
      <c r="A136" s="75" t="str">
        <f>HYPERLINK("#'Chk Instructions-Where to Look'!A112", "POA&amp;Ms")</f>
        <v>POA&amp;Ms</v>
      </c>
      <c r="B136" s="68" t="s">
        <v>31</v>
      </c>
      <c r="C136" s="35" t="s">
        <v>131</v>
      </c>
      <c r="D136" s="7" t="s">
        <v>132</v>
      </c>
      <c r="E136" s="34"/>
      <c r="F136" s="36" t="s">
        <v>30</v>
      </c>
      <c r="G136" s="9"/>
      <c r="H136" s="9"/>
      <c r="I136" s="9"/>
      <c r="J136" s="10"/>
    </row>
    <row r="137" spans="1:10" ht="29" x14ac:dyDescent="0.35">
      <c r="A137" s="64" t="str">
        <f>HYPERLINK("#'Chk Instructions-Where to Look'!A113", "POA&amp;Ms")</f>
        <v>POA&amp;Ms</v>
      </c>
      <c r="B137" s="7" t="s">
        <v>31</v>
      </c>
      <c r="C137" s="35" t="s">
        <v>131</v>
      </c>
      <c r="D137" s="7" t="s">
        <v>133</v>
      </c>
      <c r="E137" s="34"/>
      <c r="F137" s="36" t="s">
        <v>39</v>
      </c>
      <c r="G137" s="36"/>
      <c r="H137" s="9"/>
      <c r="I137" s="9"/>
      <c r="J137" s="10"/>
    </row>
    <row r="138" spans="1:10" ht="29" x14ac:dyDescent="0.35">
      <c r="A138" s="64" t="str">
        <f>HYPERLINK("#'Chk Instructions-Where to Look'!A114", "POA&amp;Ms")</f>
        <v>POA&amp;Ms</v>
      </c>
      <c r="B138" s="7" t="s">
        <v>49</v>
      </c>
      <c r="C138" s="35" t="s">
        <v>131</v>
      </c>
      <c r="D138" s="7" t="s">
        <v>134</v>
      </c>
      <c r="E138" s="34"/>
      <c r="F138" s="36" t="s">
        <v>39</v>
      </c>
      <c r="G138" s="36"/>
      <c r="H138" s="11"/>
      <c r="I138" s="9"/>
      <c r="J138" s="10"/>
    </row>
    <row r="139" spans="1:10" ht="29" x14ac:dyDescent="0.35">
      <c r="A139" s="64" t="str">
        <f>HYPERLINK("#'Chk Instructions-Where to Look'!A115", "POA&amp;Ms")</f>
        <v>POA&amp;Ms</v>
      </c>
      <c r="B139" s="7" t="s">
        <v>49</v>
      </c>
      <c r="C139" s="35" t="s">
        <v>131</v>
      </c>
      <c r="D139" s="7" t="s">
        <v>135</v>
      </c>
      <c r="E139" s="34"/>
      <c r="F139" s="36" t="s">
        <v>39</v>
      </c>
      <c r="G139" s="36"/>
      <c r="H139" s="9"/>
      <c r="I139" s="9"/>
      <c r="J139" s="10"/>
    </row>
    <row r="140" spans="1:10" ht="29" x14ac:dyDescent="0.35">
      <c r="A140" s="64" t="str">
        <f>HYPERLINK("#'Chk Instructions-Where to Look'!A116", "POA&amp;Ms")</f>
        <v>POA&amp;Ms</v>
      </c>
      <c r="B140" s="7" t="s">
        <v>49</v>
      </c>
      <c r="C140" s="35" t="s">
        <v>131</v>
      </c>
      <c r="D140" s="7" t="s">
        <v>136</v>
      </c>
      <c r="E140" s="34"/>
      <c r="F140" s="36" t="s">
        <v>39</v>
      </c>
      <c r="G140" s="36"/>
      <c r="H140" s="9"/>
      <c r="I140" s="9"/>
      <c r="J140" s="10"/>
    </row>
    <row r="141" spans="1:10" ht="58" x14ac:dyDescent="0.35">
      <c r="A141" s="64" t="str">
        <f>HYPERLINK("#'Chk Instructions-Where to Look'!A117", "POA&amp;Ms")</f>
        <v>POA&amp;Ms</v>
      </c>
      <c r="B141" s="7" t="s">
        <v>208</v>
      </c>
      <c r="C141" s="35" t="s">
        <v>131</v>
      </c>
      <c r="D141" s="7" t="s">
        <v>137</v>
      </c>
      <c r="E141" s="34"/>
      <c r="F141" s="36" t="s">
        <v>42</v>
      </c>
      <c r="G141" s="36"/>
      <c r="H141" s="41"/>
      <c r="I141" s="41"/>
      <c r="J141" s="45"/>
    </row>
    <row r="142" spans="1:10" ht="43.5" x14ac:dyDescent="0.35">
      <c r="A142" s="64" t="str">
        <f>HYPERLINK("#'Chk Instructions-Where to Look'!A118", "POA&amp;Ms")</f>
        <v>POA&amp;Ms</v>
      </c>
      <c r="B142" s="7" t="s">
        <v>208</v>
      </c>
      <c r="C142" s="35" t="s">
        <v>131</v>
      </c>
      <c r="D142" s="7" t="s">
        <v>209</v>
      </c>
      <c r="E142" s="34"/>
      <c r="F142" s="36" t="s">
        <v>30</v>
      </c>
      <c r="G142" s="9"/>
      <c r="H142" s="9"/>
      <c r="I142" s="9"/>
      <c r="J142" s="10"/>
    </row>
    <row r="143" spans="1:10" ht="43.5" x14ac:dyDescent="0.35">
      <c r="A143" s="64" t="str">
        <f>HYPERLINK("#'Chk Instructions-Where to Look'!A119", "POA&amp;Ms")</f>
        <v>POA&amp;Ms</v>
      </c>
      <c r="B143" s="7" t="s">
        <v>208</v>
      </c>
      <c r="C143" s="35" t="s">
        <v>131</v>
      </c>
      <c r="D143" s="7" t="s">
        <v>210</v>
      </c>
      <c r="E143" s="34"/>
      <c r="F143" s="36" t="s">
        <v>30</v>
      </c>
      <c r="G143" s="9"/>
      <c r="H143" s="9"/>
      <c r="I143" s="9"/>
      <c r="J143" s="10"/>
    </row>
    <row r="144" spans="1:10" ht="43.5" x14ac:dyDescent="0.35">
      <c r="A144" s="64" t="str">
        <f>HYPERLINK("#'Chk Instructions-Where to Look'!A120", "POA&amp;Ms")</f>
        <v>POA&amp;Ms</v>
      </c>
      <c r="B144" s="7" t="s">
        <v>208</v>
      </c>
      <c r="C144" s="35" t="s">
        <v>131</v>
      </c>
      <c r="D144" s="7" t="s">
        <v>211</v>
      </c>
      <c r="E144" s="34"/>
      <c r="F144" s="36" t="s">
        <v>30</v>
      </c>
      <c r="G144" s="9"/>
      <c r="H144" s="9"/>
      <c r="I144" s="9"/>
      <c r="J144" s="10"/>
    </row>
    <row r="145" spans="1:10" ht="43.5" x14ac:dyDescent="0.35">
      <c r="A145" s="64" t="str">
        <f>HYPERLINK("#'Chk Instructions-Where to Look'!A121", "POA&amp;Ms")</f>
        <v>POA&amp;Ms</v>
      </c>
      <c r="B145" s="7" t="s">
        <v>208</v>
      </c>
      <c r="C145" s="35" t="s">
        <v>131</v>
      </c>
      <c r="D145" s="7" t="s">
        <v>246</v>
      </c>
      <c r="E145" s="34"/>
      <c r="F145" s="36" t="s">
        <v>30</v>
      </c>
      <c r="G145" s="9"/>
      <c r="H145" s="9"/>
      <c r="I145" s="9"/>
      <c r="J145" s="10"/>
    </row>
    <row r="146" spans="1:10" ht="29" x14ac:dyDescent="0.35">
      <c r="A146" s="64" t="str">
        <f>HYPERLINK("#'Chk Instructions-Where to Look'!A122", "POA&amp;Ms")</f>
        <v>POA&amp;Ms</v>
      </c>
      <c r="B146" s="7" t="s">
        <v>208</v>
      </c>
      <c r="C146" s="35" t="s">
        <v>131</v>
      </c>
      <c r="D146" s="7" t="s">
        <v>138</v>
      </c>
      <c r="E146" s="34"/>
      <c r="F146" s="36" t="s">
        <v>30</v>
      </c>
      <c r="G146" s="9"/>
      <c r="H146" s="37"/>
      <c r="I146" s="9"/>
      <c r="J146" s="10"/>
    </row>
    <row r="147" spans="1:10" ht="43.5" x14ac:dyDescent="0.35">
      <c r="A147" s="64" t="str">
        <f>HYPERLINK("#'Chk Instructions-Where to Look'!A123", "POA&amp;Ms")</f>
        <v>POA&amp;Ms</v>
      </c>
      <c r="B147" s="7" t="s">
        <v>49</v>
      </c>
      <c r="C147" s="35" t="s">
        <v>131</v>
      </c>
      <c r="D147" s="7" t="s">
        <v>139</v>
      </c>
      <c r="E147" s="34"/>
      <c r="F147" s="36" t="s">
        <v>39</v>
      </c>
      <c r="G147" s="36"/>
      <c r="H147" s="37"/>
      <c r="I147" s="9"/>
      <c r="J147" s="10"/>
    </row>
    <row r="148" spans="1:10" ht="58" x14ac:dyDescent="0.35">
      <c r="A148" s="64" t="str">
        <f>HYPERLINK("#'Chk Instructions-Where to Look'!A124", "POA&amp;Ms")</f>
        <v>POA&amp;Ms</v>
      </c>
      <c r="B148" s="7" t="s">
        <v>31</v>
      </c>
      <c r="C148" s="35" t="s">
        <v>131</v>
      </c>
      <c r="D148" s="7" t="s">
        <v>201</v>
      </c>
      <c r="E148" s="34"/>
      <c r="F148" s="36" t="s">
        <v>39</v>
      </c>
      <c r="G148" s="36"/>
      <c r="H148" s="9"/>
      <c r="I148" s="9"/>
      <c r="J148" s="10"/>
    </row>
    <row r="149" spans="1:10" ht="58" x14ac:dyDescent="0.35">
      <c r="A149" s="64" t="str">
        <f>HYPERLINK("#'Chk Instructions-Where to Look'!A125", "POA&amp;Ms")</f>
        <v>POA&amp;Ms</v>
      </c>
      <c r="B149" s="7" t="s">
        <v>49</v>
      </c>
      <c r="C149" s="35" t="s">
        <v>131</v>
      </c>
      <c r="D149" s="7" t="s">
        <v>202</v>
      </c>
      <c r="E149" s="34"/>
      <c r="F149" s="36" t="s">
        <v>39</v>
      </c>
      <c r="G149" s="36"/>
      <c r="H149" s="9"/>
      <c r="I149" s="9"/>
      <c r="J149" s="10"/>
    </row>
    <row r="150" spans="1:10" ht="29" x14ac:dyDescent="0.35">
      <c r="A150" s="64" t="str">
        <f>HYPERLINK("#'Chk Instructions-Where to Look'!A126", "POA&amp;Ms")</f>
        <v>POA&amp;Ms</v>
      </c>
      <c r="B150" s="55" t="s">
        <v>213</v>
      </c>
      <c r="C150" s="35" t="s">
        <v>131</v>
      </c>
      <c r="D150" s="7" t="s">
        <v>140</v>
      </c>
      <c r="E150" s="34"/>
      <c r="F150" s="36" t="s">
        <v>42</v>
      </c>
      <c r="G150" s="36"/>
      <c r="H150" s="9"/>
      <c r="I150" s="9"/>
      <c r="J150" s="10"/>
    </row>
    <row r="151" spans="1:10" ht="43.5" x14ac:dyDescent="0.35">
      <c r="A151" s="64" t="str">
        <f>HYPERLINK("#'Chk Instructions-Where to Look'!A127", "POA&amp;Ms")</f>
        <v>POA&amp;Ms</v>
      </c>
      <c r="B151" s="7" t="s">
        <v>31</v>
      </c>
      <c r="C151" s="35" t="s">
        <v>131</v>
      </c>
      <c r="D151" s="7" t="s">
        <v>203</v>
      </c>
      <c r="E151" s="34"/>
      <c r="F151" s="36" t="s">
        <v>39</v>
      </c>
      <c r="G151" s="36"/>
      <c r="H151" s="9"/>
      <c r="I151" s="9"/>
      <c r="J151" s="10"/>
    </row>
    <row r="152" spans="1:10" ht="43.5" x14ac:dyDescent="0.35">
      <c r="A152" s="64" t="str">
        <f>HYPERLINK("#'Chk Instructions-Where to Look'!A128", "POA&amp;Ms")</f>
        <v>POA&amp;Ms</v>
      </c>
      <c r="B152" s="55" t="s">
        <v>213</v>
      </c>
      <c r="C152" s="35" t="s">
        <v>131</v>
      </c>
      <c r="D152" s="7" t="s">
        <v>141</v>
      </c>
      <c r="E152" s="34"/>
      <c r="F152" s="36" t="s">
        <v>42</v>
      </c>
      <c r="G152" s="9"/>
      <c r="H152" s="9"/>
      <c r="I152" s="9"/>
      <c r="J152" s="10"/>
    </row>
    <row r="153" spans="1:10" ht="29" x14ac:dyDescent="0.35">
      <c r="A153" s="64" t="str">
        <f>HYPERLINK("#'Chk Instructions-Where to Look'!A129", "POA&amp;Ms")</f>
        <v>POA&amp;Ms</v>
      </c>
      <c r="B153" s="7" t="s">
        <v>49</v>
      </c>
      <c r="C153" s="35" t="s">
        <v>131</v>
      </c>
      <c r="D153" s="7" t="s">
        <v>142</v>
      </c>
      <c r="E153" s="34"/>
      <c r="F153" s="36" t="s">
        <v>42</v>
      </c>
      <c r="G153" s="9"/>
      <c r="H153" s="9"/>
      <c r="I153" s="9"/>
      <c r="J153" s="10"/>
    </row>
    <row r="154" spans="1:10" ht="29" x14ac:dyDescent="0.35">
      <c r="A154" s="64" t="str">
        <f>HYPERLINK("#'Chk Instructions-Where to Look'!A130", "POA&amp;Ms")</f>
        <v>POA&amp;Ms</v>
      </c>
      <c r="B154" s="7" t="s">
        <v>49</v>
      </c>
      <c r="C154" s="35" t="s">
        <v>131</v>
      </c>
      <c r="D154" s="7" t="s">
        <v>143</v>
      </c>
      <c r="E154" s="34"/>
      <c r="F154" s="36" t="s">
        <v>39</v>
      </c>
      <c r="G154" s="36"/>
      <c r="H154" s="9"/>
      <c r="I154" s="9"/>
      <c r="J154" s="10"/>
    </row>
    <row r="155" spans="1:10" ht="43.5" x14ac:dyDescent="0.35">
      <c r="A155" s="64" t="str">
        <f>HYPERLINK("#'Chk Instructions-Where to Look'!A131", "POA&amp;Ms")</f>
        <v>POA&amp;Ms</v>
      </c>
      <c r="B155" s="7" t="s">
        <v>49</v>
      </c>
      <c r="C155" s="35" t="s">
        <v>131</v>
      </c>
      <c r="D155" s="7" t="s">
        <v>144</v>
      </c>
      <c r="E155" s="34"/>
      <c r="F155" s="36" t="s">
        <v>39</v>
      </c>
      <c r="G155" s="36"/>
      <c r="H155" s="9"/>
      <c r="I155" s="9"/>
      <c r="J155" s="10"/>
    </row>
    <row r="156" spans="1:10" ht="29" x14ac:dyDescent="0.35">
      <c r="A156" s="69" t="str">
        <f>HYPERLINK("#'Chk Instructions-Where to Look'!A132", "POA&amp;Ms")</f>
        <v>POA&amp;Ms</v>
      </c>
      <c r="B156" s="70" t="s">
        <v>49</v>
      </c>
      <c r="C156" s="35" t="s">
        <v>131</v>
      </c>
      <c r="D156" s="7" t="s">
        <v>145</v>
      </c>
      <c r="E156" s="34"/>
      <c r="F156" s="36" t="s">
        <v>39</v>
      </c>
      <c r="G156" s="36"/>
      <c r="H156" s="9"/>
      <c r="I156" s="9"/>
      <c r="J156" s="10"/>
    </row>
    <row r="157" spans="1:10" x14ac:dyDescent="0.35">
      <c r="A157" s="76"/>
      <c r="B157" s="53" t="s">
        <v>146</v>
      </c>
      <c r="C157" s="53"/>
      <c r="D157" s="39"/>
      <c r="E157" s="40"/>
      <c r="F157" s="39"/>
      <c r="G157" s="39"/>
      <c r="H157" s="39"/>
      <c r="I157" s="39"/>
      <c r="J157" s="44"/>
    </row>
    <row r="158" spans="1:10" ht="29" x14ac:dyDescent="0.35">
      <c r="A158" s="67" t="str">
        <f>HYPERLINK("#'Chk Instructions-Where to Look'!A133", "Artifacts")</f>
        <v>Artifacts</v>
      </c>
      <c r="B158" s="68" t="s">
        <v>49</v>
      </c>
      <c r="C158" s="35"/>
      <c r="D158" s="7" t="s">
        <v>147</v>
      </c>
      <c r="E158" s="34"/>
      <c r="F158" s="36" t="s">
        <v>39</v>
      </c>
      <c r="G158" s="41"/>
      <c r="H158" s="41"/>
      <c r="I158" s="41"/>
      <c r="J158" s="45"/>
    </row>
    <row r="159" spans="1:10" x14ac:dyDescent="0.35">
      <c r="A159" s="64" t="str">
        <f>HYPERLINK("#'Chk Instructions-Where to Look'!A134", "Artifacts")</f>
        <v>Artifacts</v>
      </c>
      <c r="B159" s="7" t="s">
        <v>208</v>
      </c>
      <c r="C159" s="35"/>
      <c r="D159" s="7" t="s">
        <v>248</v>
      </c>
      <c r="E159" s="34"/>
      <c r="F159" s="36" t="s">
        <v>39</v>
      </c>
      <c r="G159" s="41"/>
      <c r="H159" s="9"/>
      <c r="I159" s="9"/>
      <c r="J159" s="10"/>
    </row>
    <row r="160" spans="1:10" ht="29" x14ac:dyDescent="0.35">
      <c r="A160" s="64" t="str">
        <f>HYPERLINK("#'Chk Instructions-Where to Look'!A135", "Artifacts")</f>
        <v>Artifacts</v>
      </c>
      <c r="B160" s="7" t="s">
        <v>208</v>
      </c>
      <c r="C160" s="35"/>
      <c r="D160" s="7" t="s">
        <v>148</v>
      </c>
      <c r="E160" s="34"/>
      <c r="F160" s="36" t="s">
        <v>39</v>
      </c>
      <c r="G160" s="41"/>
      <c r="H160" s="9"/>
      <c r="I160" s="9"/>
      <c r="J160" s="10"/>
    </row>
    <row r="161" spans="1:10" ht="43.5" x14ac:dyDescent="0.35">
      <c r="A161" s="64" t="str">
        <f>HYPERLINK("#'Chk Instructions-Where to Look'!A136", "Artifacts")</f>
        <v>Artifacts</v>
      </c>
      <c r="B161" s="7" t="s">
        <v>49</v>
      </c>
      <c r="C161" s="35"/>
      <c r="D161" s="7" t="s">
        <v>149</v>
      </c>
      <c r="E161" s="34"/>
      <c r="F161" s="36" t="s">
        <v>42</v>
      </c>
      <c r="G161" s="41"/>
      <c r="H161" s="9"/>
      <c r="I161" s="9"/>
      <c r="J161" s="10"/>
    </row>
    <row r="162" spans="1:10" ht="58" x14ac:dyDescent="0.35">
      <c r="A162" s="64" t="str">
        <f>HYPERLINK("#'Chk Instructions-Where to Look'!A137", "Artifacts")</f>
        <v>Artifacts</v>
      </c>
      <c r="B162" s="7" t="s">
        <v>43</v>
      </c>
      <c r="C162" s="35"/>
      <c r="D162" s="7" t="s">
        <v>249</v>
      </c>
      <c r="E162" s="34"/>
      <c r="F162" s="36" t="s">
        <v>42</v>
      </c>
      <c r="G162" s="41"/>
      <c r="H162" s="9"/>
      <c r="I162" s="8"/>
      <c r="J162" s="10"/>
    </row>
    <row r="163" spans="1:10" ht="29" x14ac:dyDescent="0.35">
      <c r="A163" s="64" t="str">
        <f>HYPERLINK("#'Chk Instructions-Where to Look'!A138", "Artifacts")</f>
        <v>Artifacts</v>
      </c>
      <c r="B163" s="7" t="s">
        <v>49</v>
      </c>
      <c r="C163" s="35"/>
      <c r="D163" s="7" t="s">
        <v>150</v>
      </c>
      <c r="E163" s="34"/>
      <c r="F163" s="36" t="s">
        <v>39</v>
      </c>
      <c r="G163" s="41"/>
      <c r="H163" s="9"/>
      <c r="I163" s="9"/>
      <c r="J163" s="10"/>
    </row>
    <row r="164" spans="1:10" ht="29" x14ac:dyDescent="0.35">
      <c r="A164" s="64" t="str">
        <f>HYPERLINK("#'Chk Instructions-Where to Look'!A139", "Artifacts")</f>
        <v>Artifacts</v>
      </c>
      <c r="B164" s="7" t="s">
        <v>49</v>
      </c>
      <c r="C164" s="35"/>
      <c r="D164" s="7" t="s">
        <v>151</v>
      </c>
      <c r="E164" s="34"/>
      <c r="F164" s="36" t="s">
        <v>39</v>
      </c>
      <c r="G164" s="41"/>
      <c r="H164" s="9"/>
      <c r="I164" s="9"/>
      <c r="J164" s="10"/>
    </row>
    <row r="165" spans="1:10" ht="29" x14ac:dyDescent="0.35">
      <c r="A165" s="64" t="str">
        <f>HYPERLINK("#'Chk Instructions-Where to Look'!A140", "Artifacts")</f>
        <v>Artifacts</v>
      </c>
      <c r="B165" s="7" t="s">
        <v>49</v>
      </c>
      <c r="C165" s="35"/>
      <c r="D165" s="7" t="s">
        <v>152</v>
      </c>
      <c r="E165" s="34"/>
      <c r="F165" s="36" t="s">
        <v>39</v>
      </c>
      <c r="G165" s="9"/>
      <c r="H165" s="9"/>
      <c r="I165" s="9"/>
      <c r="J165" s="10"/>
    </row>
    <row r="166" spans="1:10" ht="29" x14ac:dyDescent="0.35">
      <c r="A166" s="64" t="str">
        <f>HYPERLINK("#'Chk Instructions-Where to Look'!A141", "Artifacts")</f>
        <v>Artifacts</v>
      </c>
      <c r="B166" s="7" t="s">
        <v>208</v>
      </c>
      <c r="C166" s="35"/>
      <c r="D166" s="7" t="s">
        <v>153</v>
      </c>
      <c r="E166" s="34"/>
      <c r="F166" s="36" t="s">
        <v>39</v>
      </c>
      <c r="G166" s="9"/>
      <c r="H166" s="9"/>
      <c r="I166" s="9"/>
      <c r="J166" s="10"/>
    </row>
    <row r="167" spans="1:10" ht="29" x14ac:dyDescent="0.35">
      <c r="A167" s="64" t="str">
        <f>HYPERLINK("#'Chk Instructions-Where to Look'!A142", "Artifacts")</f>
        <v>Artifacts</v>
      </c>
      <c r="B167" s="7" t="s">
        <v>208</v>
      </c>
      <c r="C167" s="35"/>
      <c r="D167" s="7" t="s">
        <v>154</v>
      </c>
      <c r="E167" s="34"/>
      <c r="F167" s="36" t="s">
        <v>39</v>
      </c>
      <c r="G167" s="9"/>
      <c r="H167" s="9"/>
      <c r="I167" s="9"/>
      <c r="J167" s="10"/>
    </row>
    <row r="168" spans="1:10" ht="43.5" x14ac:dyDescent="0.35">
      <c r="A168" s="64" t="str">
        <f>HYPERLINK("#'Chk Instructions-Where to Look'!A143", "Artifacts")</f>
        <v>Artifacts</v>
      </c>
      <c r="B168" s="7" t="s">
        <v>208</v>
      </c>
      <c r="C168" s="35"/>
      <c r="D168" s="7" t="s">
        <v>155</v>
      </c>
      <c r="E168" s="34"/>
      <c r="F168" s="36" t="s">
        <v>39</v>
      </c>
      <c r="G168" s="9"/>
      <c r="H168" s="9"/>
      <c r="I168" s="9"/>
      <c r="J168" s="10"/>
    </row>
    <row r="169" spans="1:10" ht="29" x14ac:dyDescent="0.35">
      <c r="A169" s="64" t="str">
        <f>HYPERLINK("#'Chk Instructions-Where to Look'!A144", "Artifacts")</f>
        <v>Artifacts</v>
      </c>
      <c r="B169" s="7" t="s">
        <v>208</v>
      </c>
      <c r="C169" s="35"/>
      <c r="D169" s="7" t="s">
        <v>156</v>
      </c>
      <c r="E169" s="34"/>
      <c r="F169" s="36" t="s">
        <v>39</v>
      </c>
      <c r="G169" s="9"/>
      <c r="H169" s="9"/>
      <c r="I169" s="9"/>
      <c r="J169" s="10"/>
    </row>
    <row r="170" spans="1:10" ht="29" x14ac:dyDescent="0.35">
      <c r="A170" s="64" t="str">
        <f>HYPERLINK("#'Chk Instructions-Where to Look'!A145", "Artifacts")</f>
        <v>Artifacts</v>
      </c>
      <c r="B170" s="7" t="s">
        <v>208</v>
      </c>
      <c r="C170" s="35"/>
      <c r="D170" s="7" t="s">
        <v>157</v>
      </c>
      <c r="E170" s="34"/>
      <c r="F170" s="36" t="s">
        <v>39</v>
      </c>
      <c r="G170" s="9"/>
      <c r="H170" s="9"/>
      <c r="I170" s="9"/>
      <c r="J170" s="10"/>
    </row>
    <row r="171" spans="1:10" ht="43.5" x14ac:dyDescent="0.35">
      <c r="A171" s="69" t="str">
        <f>HYPERLINK("#'Chk Instructions-Where to Look'!A146", "Artifacts")</f>
        <v>Artifacts</v>
      </c>
      <c r="B171" s="70" t="s">
        <v>208</v>
      </c>
      <c r="C171" s="35"/>
      <c r="D171" s="7" t="s">
        <v>250</v>
      </c>
      <c r="E171" s="34"/>
      <c r="F171" s="36" t="s">
        <v>39</v>
      </c>
      <c r="G171" s="9"/>
      <c r="H171" s="9"/>
      <c r="I171" s="9"/>
      <c r="J171" s="10"/>
    </row>
    <row r="172" spans="1:10" ht="33.75" customHeight="1" x14ac:dyDescent="0.35">
      <c r="A172" s="73"/>
      <c r="B172" s="53" t="s">
        <v>158</v>
      </c>
      <c r="C172" s="53"/>
      <c r="D172" s="39"/>
      <c r="E172" s="40"/>
      <c r="F172" s="39"/>
      <c r="G172" s="39"/>
      <c r="H172" s="39"/>
      <c r="I172" s="39"/>
      <c r="J172" s="44"/>
    </row>
    <row r="173" spans="1:10" ht="29" x14ac:dyDescent="0.35">
      <c r="A173" s="67" t="str">
        <f>HYPERLINK("#'Chk Instructions-Where to Look'!A147", "Package")</f>
        <v>Package</v>
      </c>
      <c r="B173" s="68" t="s">
        <v>208</v>
      </c>
      <c r="C173" s="42"/>
      <c r="D173" s="129" t="s">
        <v>212</v>
      </c>
      <c r="E173" s="34"/>
      <c r="F173" s="47" t="s">
        <v>39</v>
      </c>
      <c r="G173" s="43"/>
      <c r="H173" s="43" t="s">
        <v>159</v>
      </c>
      <c r="I173" s="43" t="s">
        <v>159</v>
      </c>
      <c r="J173" s="46" t="s">
        <v>159</v>
      </c>
    </row>
    <row r="174" spans="1:10" ht="29" x14ac:dyDescent="0.35">
      <c r="A174" s="69" t="str">
        <f>HYPERLINK("#'Chk Instructions-Where to Look'!A148", "Package")</f>
        <v>Package</v>
      </c>
      <c r="B174" s="70" t="s">
        <v>208</v>
      </c>
      <c r="C174" s="42"/>
      <c r="D174" s="129" t="s">
        <v>160</v>
      </c>
      <c r="E174" s="34"/>
      <c r="F174" s="47" t="s">
        <v>42</v>
      </c>
      <c r="G174" s="43"/>
      <c r="H174" s="43" t="s">
        <v>159</v>
      </c>
      <c r="I174" s="43" t="s">
        <v>159</v>
      </c>
      <c r="J174" s="46" t="s">
        <v>159</v>
      </c>
    </row>
    <row r="175" spans="1:10" x14ac:dyDescent="0.35">
      <c r="A175" s="90"/>
      <c r="B175" s="57" t="s">
        <v>161</v>
      </c>
      <c r="C175" s="57"/>
      <c r="D175" s="58"/>
      <c r="E175" s="59"/>
      <c r="F175" s="58"/>
      <c r="G175" s="58"/>
      <c r="H175" s="58"/>
      <c r="I175" s="58"/>
      <c r="J175" s="60"/>
    </row>
    <row r="176" spans="1:10" ht="29" x14ac:dyDescent="0.35">
      <c r="A176" s="64" t="str">
        <f>HYPERLINK("#'Chk Instructions-Where to Look'!A149", "Relationships")</f>
        <v>Relationships</v>
      </c>
      <c r="B176" s="55" t="s">
        <v>213</v>
      </c>
      <c r="C176" s="42" t="s">
        <v>32</v>
      </c>
      <c r="D176" s="129" t="s">
        <v>251</v>
      </c>
      <c r="E176" s="34"/>
      <c r="F176" s="36" t="s">
        <v>39</v>
      </c>
      <c r="G176" s="36"/>
      <c r="H176" s="41"/>
      <c r="I176" s="41"/>
      <c r="J176" s="41"/>
    </row>
    <row r="177" spans="1:10" x14ac:dyDescent="0.35">
      <c r="A177" s="67" t="str">
        <f>HYPERLINK("#'Chk Instructions-Where to Look'!A150", "Relationships")</f>
        <v>Relationships</v>
      </c>
      <c r="B177" s="68" t="s">
        <v>208</v>
      </c>
      <c r="C177" s="101"/>
      <c r="D177" s="130" t="s">
        <v>252</v>
      </c>
      <c r="E177" s="34"/>
      <c r="F177" s="102" t="s">
        <v>39</v>
      </c>
      <c r="G177" s="103"/>
      <c r="H177" s="103"/>
      <c r="I177" s="104"/>
      <c r="J177" s="105"/>
    </row>
    <row r="178" spans="1:10" ht="43.5" x14ac:dyDescent="0.35">
      <c r="A178" s="69" t="str">
        <f>HYPERLINK("#'Chk Instructions-Where to Look'!A151", "Relationships")</f>
        <v>Relationships</v>
      </c>
      <c r="B178" s="70" t="s">
        <v>43</v>
      </c>
      <c r="C178" s="80"/>
      <c r="D178" s="70" t="s">
        <v>253</v>
      </c>
      <c r="E178" s="34"/>
      <c r="F178" s="82" t="s">
        <v>42</v>
      </c>
      <c r="G178" s="83"/>
      <c r="H178" s="83"/>
      <c r="I178" s="84"/>
      <c r="J178" s="85"/>
    </row>
    <row r="179" spans="1:10" ht="29" x14ac:dyDescent="0.35">
      <c r="A179" s="64" t="str">
        <f>HYPERLINK("#'Chk Instructions-Where to Look'!A152", "Relationships")</f>
        <v>Relationships</v>
      </c>
      <c r="B179" s="7" t="s">
        <v>208</v>
      </c>
      <c r="C179" s="42" t="s">
        <v>32</v>
      </c>
      <c r="D179" s="7" t="s">
        <v>254</v>
      </c>
      <c r="E179" s="34"/>
      <c r="F179" s="36" t="s">
        <v>39</v>
      </c>
      <c r="G179" s="36"/>
      <c r="H179" s="9"/>
      <c r="I179" s="9"/>
      <c r="J179" s="9"/>
    </row>
    <row r="180" spans="1:10" ht="58" x14ac:dyDescent="0.35">
      <c r="A180" s="64" t="str">
        <f>HYPERLINK("#'Chk Instructions-Where to Look'!A153", "Relationships")</f>
        <v>Relationships</v>
      </c>
      <c r="B180" s="7" t="s">
        <v>208</v>
      </c>
      <c r="C180" s="42" t="s">
        <v>32</v>
      </c>
      <c r="D180" s="7" t="s">
        <v>162</v>
      </c>
      <c r="E180" s="34"/>
      <c r="F180" s="36" t="s">
        <v>42</v>
      </c>
      <c r="G180" s="9"/>
      <c r="H180" s="9"/>
      <c r="I180" s="9"/>
      <c r="J180" s="9"/>
    </row>
    <row r="181" spans="1:10" ht="43.5" x14ac:dyDescent="0.35">
      <c r="A181" s="64" t="str">
        <f>HYPERLINK("#'Chk Instructions-Where to Look'!A154", "Relationships")</f>
        <v>Relationships</v>
      </c>
      <c r="B181" s="55" t="s">
        <v>213</v>
      </c>
      <c r="C181" s="42" t="s">
        <v>32</v>
      </c>
      <c r="D181" s="7" t="s">
        <v>163</v>
      </c>
      <c r="E181" s="34"/>
      <c r="F181" s="36" t="s">
        <v>39</v>
      </c>
      <c r="G181" s="9"/>
      <c r="H181" s="9"/>
      <c r="I181" s="9"/>
      <c r="J181" s="9"/>
    </row>
    <row r="182" spans="1:10" ht="72.5" x14ac:dyDescent="0.35">
      <c r="A182" s="67" t="str">
        <f>HYPERLINK("#'Chk Instructions-Where to Look'!A155", "Relationships")</f>
        <v>Relationships</v>
      </c>
      <c r="B182" s="68" t="s">
        <v>43</v>
      </c>
      <c r="C182" s="101"/>
      <c r="D182" s="68" t="s">
        <v>247</v>
      </c>
      <c r="E182" s="34"/>
      <c r="F182" s="102" t="s">
        <v>39</v>
      </c>
      <c r="G182" s="103"/>
      <c r="H182" s="103"/>
      <c r="I182" s="103"/>
      <c r="J182" s="105"/>
    </row>
    <row r="183" spans="1:10" ht="58" x14ac:dyDescent="0.35">
      <c r="A183" s="69" t="str">
        <f>HYPERLINK("#'Chk Instructions-Where to Look'!A156", "Relationships")</f>
        <v>Relationships</v>
      </c>
      <c r="B183" s="70" t="s">
        <v>208</v>
      </c>
      <c r="C183" s="35"/>
      <c r="D183" s="7" t="s">
        <v>164</v>
      </c>
      <c r="E183" s="34"/>
      <c r="F183" s="36" t="s">
        <v>42</v>
      </c>
      <c r="G183" s="9"/>
      <c r="H183" s="9"/>
      <c r="I183" s="9"/>
      <c r="J183" s="10"/>
    </row>
    <row r="184" spans="1:10" x14ac:dyDescent="0.35">
      <c r="A184" s="90"/>
      <c r="B184" s="57" t="s">
        <v>165</v>
      </c>
      <c r="C184" s="57"/>
      <c r="D184" s="58"/>
      <c r="E184" s="59"/>
      <c r="F184" s="58"/>
      <c r="G184" s="58"/>
      <c r="H184" s="58"/>
      <c r="I184" s="58"/>
      <c r="J184" s="60"/>
    </row>
    <row r="185" spans="1:10" ht="29" x14ac:dyDescent="0.35">
      <c r="A185" s="65" t="str">
        <f>HYPERLINK("#'Chk Instructions-Where to Look'!A157", "Relationships")</f>
        <v>Relationships</v>
      </c>
      <c r="B185" s="7" t="s">
        <v>54</v>
      </c>
      <c r="C185" s="42" t="s">
        <v>32</v>
      </c>
      <c r="D185" s="7" t="s">
        <v>219</v>
      </c>
      <c r="E185" s="34"/>
      <c r="F185" s="36" t="s">
        <v>42</v>
      </c>
      <c r="G185" s="36"/>
      <c r="H185" s="9"/>
      <c r="I185" s="9"/>
      <c r="J185" s="9"/>
    </row>
    <row r="186" spans="1:10" ht="29" x14ac:dyDescent="0.35">
      <c r="A186" s="65" t="str">
        <f>HYPERLINK("#'Chk Instructions-Where to Look'!A158", "Relationships")</f>
        <v>Relationships</v>
      </c>
      <c r="B186" s="7" t="s">
        <v>54</v>
      </c>
      <c r="C186" s="42" t="s">
        <v>32</v>
      </c>
      <c r="D186" s="7" t="s">
        <v>166</v>
      </c>
      <c r="E186" s="34"/>
      <c r="F186" s="36" t="s">
        <v>42</v>
      </c>
      <c r="G186" s="36"/>
      <c r="H186" s="9"/>
      <c r="I186" s="9"/>
      <c r="J186" s="9"/>
    </row>
    <row r="187" spans="1:10" ht="31.5" customHeight="1" x14ac:dyDescent="0.35">
      <c r="A187" s="113"/>
      <c r="B187" s="107" t="s">
        <v>167</v>
      </c>
      <c r="C187" s="107"/>
      <c r="D187" s="108"/>
      <c r="E187" s="109"/>
      <c r="F187" s="108"/>
      <c r="G187" s="108"/>
      <c r="H187" s="108"/>
      <c r="I187" s="108"/>
      <c r="J187" s="110"/>
    </row>
    <row r="188" spans="1:10" ht="29" x14ac:dyDescent="0.35">
      <c r="A188" s="64" t="str">
        <f>HYPERLINK("#'Chk Instructions-Where to Look'!A159", "Management")</f>
        <v>Management</v>
      </c>
      <c r="B188" s="55" t="s">
        <v>213</v>
      </c>
      <c r="C188" s="42" t="s">
        <v>32</v>
      </c>
      <c r="D188" s="129" t="s">
        <v>168</v>
      </c>
      <c r="E188" s="34"/>
      <c r="F188" s="48" t="s">
        <v>30</v>
      </c>
      <c r="G188" s="118"/>
      <c r="H188" s="118" t="s">
        <v>159</v>
      </c>
      <c r="I188" s="118" t="s">
        <v>159</v>
      </c>
      <c r="J188" s="118" t="s">
        <v>159</v>
      </c>
    </row>
    <row r="189" spans="1:10" ht="29" x14ac:dyDescent="0.35">
      <c r="A189" s="64" t="str">
        <f>HYPERLINK("#'Chk Instructions-Where to Look'!A160", "Management")</f>
        <v>Management</v>
      </c>
      <c r="B189" s="55" t="s">
        <v>213</v>
      </c>
      <c r="C189" s="42" t="s">
        <v>32</v>
      </c>
      <c r="D189" s="129" t="s">
        <v>169</v>
      </c>
      <c r="E189" s="34"/>
      <c r="F189" s="48" t="s">
        <v>30</v>
      </c>
      <c r="G189" s="119"/>
      <c r="H189" s="119" t="s">
        <v>159</v>
      </c>
      <c r="I189" s="119" t="s">
        <v>159</v>
      </c>
      <c r="J189" s="119" t="s">
        <v>159</v>
      </c>
    </row>
    <row r="190" spans="1:10" ht="29" x14ac:dyDescent="0.35">
      <c r="A190" s="64" t="str">
        <f>HYPERLINK("#'Chk Instructions-Where to Look'!A161", "Management")</f>
        <v>Management</v>
      </c>
      <c r="B190" s="55" t="s">
        <v>213</v>
      </c>
      <c r="C190" s="42" t="s">
        <v>32</v>
      </c>
      <c r="D190" s="129" t="s">
        <v>170</v>
      </c>
      <c r="E190" s="34"/>
      <c r="F190" s="48" t="s">
        <v>30</v>
      </c>
      <c r="G190" s="119"/>
      <c r="H190" s="119" t="s">
        <v>159</v>
      </c>
      <c r="I190" s="119" t="s">
        <v>159</v>
      </c>
      <c r="J190" s="119" t="s">
        <v>159</v>
      </c>
    </row>
    <row r="191" spans="1:10" ht="29" x14ac:dyDescent="0.35">
      <c r="A191" s="64" t="str">
        <f>HYPERLINK("#'Chk Instructions-Where to Look'!A162", "Management")</f>
        <v>Management</v>
      </c>
      <c r="B191" s="55" t="s">
        <v>213</v>
      </c>
      <c r="C191" s="42" t="s">
        <v>32</v>
      </c>
      <c r="D191" s="129" t="s">
        <v>171</v>
      </c>
      <c r="E191" s="34"/>
      <c r="F191" s="48" t="s">
        <v>30</v>
      </c>
      <c r="G191" s="119"/>
      <c r="H191" s="119" t="s">
        <v>159</v>
      </c>
      <c r="I191" s="119" t="s">
        <v>159</v>
      </c>
      <c r="J191" s="119" t="s">
        <v>159</v>
      </c>
    </row>
    <row r="192" spans="1:10" ht="29" x14ac:dyDescent="0.35">
      <c r="A192" s="64" t="str">
        <f>HYPERLINK("#'Chk Instructions-Where to Look'!A163", "Management")</f>
        <v>Management</v>
      </c>
      <c r="B192" s="55" t="s">
        <v>213</v>
      </c>
      <c r="C192" s="42" t="s">
        <v>32</v>
      </c>
      <c r="D192" s="129" t="s">
        <v>172</v>
      </c>
      <c r="E192" s="34"/>
      <c r="F192" s="48" t="s">
        <v>30</v>
      </c>
      <c r="G192" s="119"/>
      <c r="H192" s="119" t="s">
        <v>159</v>
      </c>
      <c r="I192" s="119" t="s">
        <v>159</v>
      </c>
      <c r="J192" s="119" t="s">
        <v>159</v>
      </c>
    </row>
    <row r="193" spans="1:10" ht="29" x14ac:dyDescent="0.35">
      <c r="A193" s="64" t="str">
        <f>HYPERLINK("#'Chk Instructions-Where to Look'!A164", "Management")</f>
        <v>Management</v>
      </c>
      <c r="B193" s="55" t="s">
        <v>213</v>
      </c>
      <c r="C193" s="42" t="s">
        <v>32</v>
      </c>
      <c r="D193" s="129" t="s">
        <v>173</v>
      </c>
      <c r="E193" s="34"/>
      <c r="F193" s="48" t="s">
        <v>30</v>
      </c>
      <c r="G193" s="119"/>
      <c r="H193" s="119" t="s">
        <v>159</v>
      </c>
      <c r="I193" s="119" t="s">
        <v>159</v>
      </c>
      <c r="J193" s="119" t="s">
        <v>159</v>
      </c>
    </row>
    <row r="194" spans="1:10" ht="29" x14ac:dyDescent="0.35">
      <c r="A194" s="64" t="str">
        <f>HYPERLINK("#'Chk Instructions-Where to Look'!A165", "Management")</f>
        <v>Management</v>
      </c>
      <c r="B194" s="55" t="s">
        <v>213</v>
      </c>
      <c r="C194" s="42" t="s">
        <v>32</v>
      </c>
      <c r="D194" s="129" t="s">
        <v>174</v>
      </c>
      <c r="E194" s="34"/>
      <c r="F194" s="48" t="s">
        <v>30</v>
      </c>
      <c r="G194" s="119"/>
      <c r="H194" s="119" t="s">
        <v>159</v>
      </c>
      <c r="I194" s="119" t="s">
        <v>159</v>
      </c>
      <c r="J194" s="119" t="s">
        <v>159</v>
      </c>
    </row>
    <row r="195" spans="1:10" ht="29" x14ac:dyDescent="0.35">
      <c r="A195" s="64" t="str">
        <f>HYPERLINK("#'Chk Instructions-Where to Look'!A166", "Management")</f>
        <v>Management</v>
      </c>
      <c r="B195" s="55" t="s">
        <v>213</v>
      </c>
      <c r="C195" s="42" t="s">
        <v>32</v>
      </c>
      <c r="D195" s="129" t="s">
        <v>175</v>
      </c>
      <c r="E195" s="34"/>
      <c r="F195" s="48" t="s">
        <v>30</v>
      </c>
      <c r="G195" s="119"/>
      <c r="H195" s="119" t="s">
        <v>159</v>
      </c>
      <c r="I195" s="119" t="s">
        <v>159</v>
      </c>
      <c r="J195" s="119" t="s">
        <v>159</v>
      </c>
    </row>
    <row r="196" spans="1:10" ht="29" x14ac:dyDescent="0.35">
      <c r="A196" s="64" t="str">
        <f>HYPERLINK("#'Chk Instructions-Where to Look'!A167", "Management")</f>
        <v>Management</v>
      </c>
      <c r="B196" s="55" t="s">
        <v>213</v>
      </c>
      <c r="C196" s="42" t="s">
        <v>32</v>
      </c>
      <c r="D196" s="129" t="s">
        <v>176</v>
      </c>
      <c r="E196" s="34"/>
      <c r="F196" s="48" t="s">
        <v>34</v>
      </c>
      <c r="G196" s="119"/>
      <c r="H196" s="119" t="s">
        <v>159</v>
      </c>
      <c r="I196" s="119" t="s">
        <v>159</v>
      </c>
      <c r="J196" s="119" t="s">
        <v>159</v>
      </c>
    </row>
    <row r="197" spans="1:10" ht="38.25" customHeight="1" x14ac:dyDescent="0.35">
      <c r="A197" s="62"/>
      <c r="B197" s="54" t="s">
        <v>177</v>
      </c>
      <c r="C197" s="107"/>
      <c r="D197" s="108"/>
      <c r="E197" s="109"/>
      <c r="F197" s="108"/>
      <c r="G197" s="108"/>
      <c r="H197" s="108"/>
      <c r="I197" s="108"/>
      <c r="J197" s="110"/>
    </row>
    <row r="198" spans="1:10" ht="29" x14ac:dyDescent="0.35">
      <c r="A198" s="65" t="str">
        <f>HYPERLINK("#'Chk Instructions-Where to Look'!A168", "Management")</f>
        <v>Management</v>
      </c>
      <c r="B198" s="55" t="s">
        <v>213</v>
      </c>
      <c r="C198" s="42" t="s">
        <v>32</v>
      </c>
      <c r="D198" s="129" t="s">
        <v>178</v>
      </c>
      <c r="E198" s="34"/>
      <c r="F198" s="48" t="s">
        <v>30</v>
      </c>
      <c r="G198" s="119"/>
      <c r="H198" s="119" t="s">
        <v>159</v>
      </c>
      <c r="I198" s="119" t="s">
        <v>159</v>
      </c>
      <c r="J198" s="119" t="s">
        <v>159</v>
      </c>
    </row>
    <row r="199" spans="1:10" ht="29" x14ac:dyDescent="0.35">
      <c r="A199" s="65" t="str">
        <f>HYPERLINK("#'Chk Instructions-Where to Look'!A169", "Management")</f>
        <v>Management</v>
      </c>
      <c r="B199" s="55" t="s">
        <v>213</v>
      </c>
      <c r="C199" s="42" t="s">
        <v>32</v>
      </c>
      <c r="D199" s="129" t="s">
        <v>179</v>
      </c>
      <c r="E199" s="34"/>
      <c r="F199" s="48" t="s">
        <v>30</v>
      </c>
      <c r="G199" s="119"/>
      <c r="H199" s="119" t="s">
        <v>159</v>
      </c>
      <c r="I199" s="119" t="s">
        <v>159</v>
      </c>
      <c r="J199" s="119" t="s">
        <v>159</v>
      </c>
    </row>
    <row r="200" spans="1:10" x14ac:dyDescent="0.35"/>
    <row r="201" spans="1:10" x14ac:dyDescent="0.35"/>
    <row r="202" spans="1:10" x14ac:dyDescent="0.35"/>
    <row r="203" spans="1:10" x14ac:dyDescent="0.35"/>
    <row r="204" spans="1:10" x14ac:dyDescent="0.35"/>
    <row r="205" spans="1:10" x14ac:dyDescent="0.35"/>
    <row r="206" spans="1:10" x14ac:dyDescent="0.35"/>
    <row r="207" spans="1:10" x14ac:dyDescent="0.35"/>
    <row r="208" spans="1:10" x14ac:dyDescent="0.35"/>
    <row r="209" x14ac:dyDescent="0.35"/>
    <row r="210" x14ac:dyDescent="0.35"/>
    <row r="211" x14ac:dyDescent="0.35"/>
    <row r="212" x14ac:dyDescent="0.35"/>
  </sheetData>
  <autoFilter ref="A3:J199" xr:uid="{FAC03B00-37D4-4D6E-9FE8-E3E51C981444}"/>
  <mergeCells count="2">
    <mergeCell ref="B2:H2"/>
    <mergeCell ref="B1:H1"/>
  </mergeCells>
  <conditionalFormatting sqref="A4:B4 B5:B12 B14:B19 B21 B26:B31 B33:B34 A35:B35 B36:B39 A40:B40 B41:B45 A46:B46 B47:B53 A54:B54 B55:B59 A60:B60 B61 A62:B62 B63 A64:B64 B65 A66:B66 B67:B70 A71:B71 B72:B73 A74:B74 B75:B79 B81:B85 B87:B103 B105:B113 B117 B119:B149 B151 B153:B175 B177:B180 B182:B187 B197">
    <cfRule type="cellIs" dxfId="160" priority="154" operator="equal">
      <formula>"NETCOM ATC Entrance Criteria"</formula>
    </cfRule>
  </conditionalFormatting>
  <conditionalFormatting sqref="C3:C4 C6 C34:C35 C37:C38 C40:C41 C43:C46 C54 C57 C59:C60 C62 C64:C66 C71 C74 C77:C79 C82 C89 C97 C106 C108:C109 C112 C116:C120 C122:C135 C157:C161 C163:C175 C177 C183:C184 C187 C197 C200:C1048576">
    <cfRule type="cellIs" dxfId="159" priority="172" operator="equal">
      <formula>"POAM"</formula>
    </cfRule>
  </conditionalFormatting>
  <conditionalFormatting sqref="C6 C34 C37:C38 C43:C45 C57 C59 C65 C78:C79 C82 C108 C116 C118:C119 C123 C125:C129 C131:C134 C158:C161 C163:C171 C173:C174 C177 C183">
    <cfRule type="cellIs" dxfId="158" priority="173" operator="equal">
      <formula>"SP"</formula>
    </cfRule>
  </conditionalFormatting>
  <conditionalFormatting sqref="C34 C37:C38 C43:C45 C57 C59 C65 C78:C79 C82 C108 C116 C118:C119 C123 C125:C129 C131:C134 C158:C161 C163:C171 C173:C174 C177">
    <cfRule type="cellIs" dxfId="157" priority="153" operator="equal">
      <formula>"Cloud"</formula>
    </cfRule>
  </conditionalFormatting>
  <conditionalFormatting sqref="C41">
    <cfRule type="cellIs" dxfId="156" priority="139" operator="equal">
      <formula>"Cloud"</formula>
    </cfRule>
    <cfRule type="cellIs" dxfId="155" priority="140" operator="equal">
      <formula>"SP"</formula>
    </cfRule>
  </conditionalFormatting>
  <conditionalFormatting sqref="E3:E19 E20:F20 E21:E1048576">
    <cfRule type="cellIs" dxfId="154" priority="174" operator="equal">
      <formula>"Confirm - Corrected"</formula>
    </cfRule>
  </conditionalFormatting>
  <conditionalFormatting sqref="E5:E19 E20:F20 E21:E199">
    <cfRule type="cellIs" dxfId="153" priority="138" operator="equal">
      <formula>"Previously Corrected"</formula>
    </cfRule>
  </conditionalFormatting>
  <conditionalFormatting sqref="E7:E19 E20:F20 E21:E199">
    <cfRule type="cellIs" dxfId="152" priority="137" operator="equal">
      <formula>"Not Yet Assessed"</formula>
    </cfRule>
  </conditionalFormatting>
  <conditionalFormatting sqref="E37:E38 H80:J88 E90:J96 E136:F156 G137:J156">
    <cfRule type="cellIs" dxfId="151" priority="133" operator="equal">
      <formula>"N/A"</formula>
    </cfRule>
    <cfRule type="cellIs" dxfId="150" priority="135" operator="equal">
      <formula>"Fail"</formula>
    </cfRule>
    <cfRule type="cellIs" dxfId="149" priority="134" operator="equal">
      <formula>"Concern"</formula>
    </cfRule>
    <cfRule type="cellIs" dxfId="148" priority="136" operator="equal">
      <formula>"Pass"</formula>
    </cfRule>
  </conditionalFormatting>
  <conditionalFormatting sqref="E78:E79">
    <cfRule type="cellIs" dxfId="147" priority="116" operator="equal">
      <formula>"Pass"</formula>
    </cfRule>
    <cfRule type="cellIs" dxfId="146" priority="113" operator="equal">
      <formula>"N/A"</formula>
    </cfRule>
    <cfRule type="cellIs" dxfId="145" priority="115" operator="equal">
      <formula>"Fail"</formula>
    </cfRule>
    <cfRule type="cellIs" dxfId="144" priority="114" operator="equal">
      <formula>"Concern"</formula>
    </cfRule>
  </conditionalFormatting>
  <conditionalFormatting sqref="E82">
    <cfRule type="cellIs" dxfId="143" priority="110" operator="equal">
      <formula>"Concern"</formula>
    </cfRule>
    <cfRule type="cellIs" dxfId="142" priority="112" operator="equal">
      <formula>"Pass"</formula>
    </cfRule>
    <cfRule type="cellIs" dxfId="141" priority="111" operator="equal">
      <formula>"Fail"</formula>
    </cfRule>
    <cfRule type="cellIs" dxfId="140" priority="109" operator="equal">
      <formula>"N/A"</formula>
    </cfRule>
  </conditionalFormatting>
  <conditionalFormatting sqref="E99:E105">
    <cfRule type="cellIs" dxfId="139" priority="104" operator="equal">
      <formula>"Pass"</formula>
    </cfRule>
    <cfRule type="cellIs" dxfId="138" priority="102" operator="equal">
      <formula>"Concern"</formula>
    </cfRule>
    <cfRule type="cellIs" dxfId="137" priority="101" operator="equal">
      <formula>"N/A"</formula>
    </cfRule>
    <cfRule type="cellIs" dxfId="136" priority="103" operator="equal">
      <formula>"Fail"</formula>
    </cfRule>
  </conditionalFormatting>
  <conditionalFormatting sqref="E108">
    <cfRule type="cellIs" dxfId="135" priority="100" operator="equal">
      <formula>"Pass"</formula>
    </cfRule>
    <cfRule type="cellIs" dxfId="134" priority="98" operator="equal">
      <formula>"Concern"</formula>
    </cfRule>
    <cfRule type="cellIs" dxfId="133" priority="97" operator="equal">
      <formula>"N/A"</formula>
    </cfRule>
    <cfRule type="cellIs" dxfId="132" priority="99" operator="equal">
      <formula>"Fail"</formula>
    </cfRule>
  </conditionalFormatting>
  <conditionalFormatting sqref="E116">
    <cfRule type="cellIs" dxfId="131" priority="94" operator="equal">
      <formula>"Concern"</formula>
    </cfRule>
    <cfRule type="cellIs" dxfId="130" priority="96" operator="equal">
      <formula>"Pass"</formula>
    </cfRule>
    <cfRule type="cellIs" dxfId="129" priority="95" operator="equal">
      <formula>"Fail"</formula>
    </cfRule>
    <cfRule type="cellIs" dxfId="128" priority="93" operator="equal">
      <formula>"N/A"</formula>
    </cfRule>
  </conditionalFormatting>
  <conditionalFormatting sqref="E158:E171">
    <cfRule type="cellIs" dxfId="127" priority="65" operator="equal">
      <formula>"N/A"</formula>
    </cfRule>
    <cfRule type="cellIs" dxfId="126" priority="66" operator="equal">
      <formula>"Concern"</formula>
    </cfRule>
    <cfRule type="cellIs" dxfId="125" priority="67" operator="equal">
      <formula>"Fail"</formula>
    </cfRule>
    <cfRule type="cellIs" dxfId="124" priority="68" operator="equal">
      <formula>"Pass"</formula>
    </cfRule>
  </conditionalFormatting>
  <conditionalFormatting sqref="E173:E174">
    <cfRule type="cellIs" dxfId="123" priority="62" operator="equal">
      <formula>"Concern"</formula>
    </cfRule>
    <cfRule type="cellIs" dxfId="122" priority="63" operator="equal">
      <formula>"Fail"</formula>
    </cfRule>
    <cfRule type="cellIs" dxfId="121" priority="64" operator="equal">
      <formula>"Pass"</formula>
    </cfRule>
    <cfRule type="cellIs" dxfId="120" priority="61" operator="equal">
      <formula>"N/A"</formula>
    </cfRule>
  </conditionalFormatting>
  <conditionalFormatting sqref="E176:E183">
    <cfRule type="cellIs" dxfId="119" priority="57" operator="equal">
      <formula>"N/A"</formula>
    </cfRule>
    <cfRule type="cellIs" dxfId="118" priority="58" operator="equal">
      <formula>"Concern"</formula>
    </cfRule>
    <cfRule type="cellIs" dxfId="117" priority="59" operator="equal">
      <formula>"Fail"</formula>
    </cfRule>
    <cfRule type="cellIs" dxfId="116" priority="60" operator="equal">
      <formula>"Pass"</formula>
    </cfRule>
  </conditionalFormatting>
  <conditionalFormatting sqref="E188:E196">
    <cfRule type="cellIs" dxfId="115" priority="218" operator="equal">
      <formula>"Pass"</formula>
    </cfRule>
    <cfRule type="cellIs" dxfId="114" priority="217" operator="equal">
      <formula>"Fail"</formula>
    </cfRule>
    <cfRule type="cellIs" dxfId="113" priority="216" operator="equal">
      <formula>"Concern"</formula>
    </cfRule>
    <cfRule type="cellIs" dxfId="112" priority="215" operator="equal">
      <formula>"N/A"</formula>
    </cfRule>
  </conditionalFormatting>
  <conditionalFormatting sqref="E198:E199">
    <cfRule type="cellIs" dxfId="111" priority="519" operator="equal">
      <formula>"N/A"</formula>
    </cfRule>
    <cfRule type="cellIs" dxfId="110" priority="520" operator="equal">
      <formula>"Concern"</formula>
    </cfRule>
    <cfRule type="cellIs" dxfId="109" priority="521" operator="equal">
      <formula>"Fail"</formula>
    </cfRule>
    <cfRule type="cellIs" dxfId="108" priority="522" operator="equal">
      <formula>"Pass"</formula>
    </cfRule>
  </conditionalFormatting>
  <conditionalFormatting sqref="E3:F3 D45">
    <cfRule type="cellIs" dxfId="107" priority="668" operator="equal">
      <formula>"Concern"</formula>
    </cfRule>
    <cfRule type="cellIs" dxfId="106" priority="667" operator="equal">
      <formula>"N/A"</formula>
    </cfRule>
    <cfRule type="cellIs" dxfId="105" priority="669" operator="equal">
      <formula>"Fail"</formula>
    </cfRule>
    <cfRule type="cellIs" dxfId="104" priority="670" operator="equal">
      <formula>"Pass"</formula>
    </cfRule>
  </conditionalFormatting>
  <conditionalFormatting sqref="E78:G88">
    <cfRule type="cellIs" dxfId="103" priority="1" operator="equal">
      <formula>"N/A"</formula>
    </cfRule>
    <cfRule type="cellIs" dxfId="102" priority="4" operator="equal">
      <formula>"Pass"</formula>
    </cfRule>
    <cfRule type="cellIs" dxfId="101" priority="3" operator="equal">
      <formula>"Fail"</formula>
    </cfRule>
    <cfRule type="cellIs" dxfId="100" priority="2" operator="equal">
      <formula>"Concern"</formula>
    </cfRule>
  </conditionalFormatting>
  <conditionalFormatting sqref="E5:J34">
    <cfRule type="cellIs" dxfId="99" priority="38" operator="equal">
      <formula>"Concern"</formula>
    </cfRule>
    <cfRule type="cellIs" dxfId="98" priority="39" operator="equal">
      <formula>"Fail"</formula>
    </cfRule>
    <cfRule type="cellIs" dxfId="97" priority="40" operator="equal">
      <formula>"Pass"</formula>
    </cfRule>
    <cfRule type="cellIs" dxfId="96" priority="37" operator="equal">
      <formula>"N/A"</formula>
    </cfRule>
  </conditionalFormatting>
  <conditionalFormatting sqref="E36:J39">
    <cfRule type="cellIs" dxfId="95" priority="50" operator="equal">
      <formula>"Concern"</formula>
    </cfRule>
    <cfRule type="cellIs" dxfId="94" priority="51" operator="equal">
      <formula>"Fail"</formula>
    </cfRule>
    <cfRule type="cellIs" dxfId="93" priority="52" operator="equal">
      <formula>"Pass"</formula>
    </cfRule>
    <cfRule type="cellIs" dxfId="92" priority="49" operator="equal">
      <formula>"N/A"</formula>
    </cfRule>
  </conditionalFormatting>
  <conditionalFormatting sqref="E41:J45">
    <cfRule type="cellIs" dxfId="91" priority="43" operator="equal">
      <formula>"Fail"</formula>
    </cfRule>
    <cfRule type="cellIs" dxfId="90" priority="41" operator="equal">
      <formula>"N/A"</formula>
    </cfRule>
    <cfRule type="cellIs" dxfId="89" priority="42" operator="equal">
      <formula>"Concern"</formula>
    </cfRule>
    <cfRule type="cellIs" dxfId="88" priority="44" operator="equal">
      <formula>"Pass"</formula>
    </cfRule>
  </conditionalFormatting>
  <conditionalFormatting sqref="E47:J53">
    <cfRule type="cellIs" dxfId="87" priority="33" operator="equal">
      <formula>"N/A"</formula>
    </cfRule>
    <cfRule type="cellIs" dxfId="86" priority="36" operator="equal">
      <formula>"Pass"</formula>
    </cfRule>
    <cfRule type="cellIs" dxfId="85" priority="35" operator="equal">
      <formula>"Fail"</formula>
    </cfRule>
    <cfRule type="cellIs" dxfId="84" priority="34" operator="equal">
      <formula>"Concern"</formula>
    </cfRule>
  </conditionalFormatting>
  <conditionalFormatting sqref="E55:J59">
    <cfRule type="cellIs" dxfId="83" priority="29" operator="equal">
      <formula>"N/A"</formula>
    </cfRule>
    <cfRule type="cellIs" dxfId="82" priority="31" operator="equal">
      <formula>"Fail"</formula>
    </cfRule>
    <cfRule type="cellIs" dxfId="81" priority="30" operator="equal">
      <formula>"Concern"</formula>
    </cfRule>
    <cfRule type="cellIs" dxfId="80" priority="32" operator="equal">
      <formula>"Pass"</formula>
    </cfRule>
  </conditionalFormatting>
  <conditionalFormatting sqref="E61:J61">
    <cfRule type="cellIs" dxfId="79" priority="25" operator="equal">
      <formula>"N/A"</formula>
    </cfRule>
    <cfRule type="cellIs" dxfId="78" priority="26" operator="equal">
      <formula>"Concern"</formula>
    </cfRule>
    <cfRule type="cellIs" dxfId="77" priority="27" operator="equal">
      <formula>"Fail"</formula>
    </cfRule>
    <cfRule type="cellIs" dxfId="76" priority="28" operator="equal">
      <formula>"Pass"</formula>
    </cfRule>
  </conditionalFormatting>
  <conditionalFormatting sqref="E63:J63">
    <cfRule type="cellIs" dxfId="75" priority="22" operator="equal">
      <formula>"Concern"</formula>
    </cfRule>
    <cfRule type="cellIs" dxfId="74" priority="23" operator="equal">
      <formula>"Fail"</formula>
    </cfRule>
    <cfRule type="cellIs" dxfId="73" priority="24" operator="equal">
      <formula>"Pass"</formula>
    </cfRule>
    <cfRule type="cellIs" dxfId="72" priority="21" operator="equal">
      <formula>"N/A"</formula>
    </cfRule>
  </conditionalFormatting>
  <conditionalFormatting sqref="E65:J65">
    <cfRule type="cellIs" dxfId="71" priority="17" operator="equal">
      <formula>"N/A"</formula>
    </cfRule>
    <cfRule type="cellIs" dxfId="70" priority="19" operator="equal">
      <formula>"Fail"</formula>
    </cfRule>
    <cfRule type="cellIs" dxfId="69" priority="18" operator="equal">
      <formula>"Concern"</formula>
    </cfRule>
    <cfRule type="cellIs" dxfId="68" priority="20" operator="equal">
      <formula>"Pass"</formula>
    </cfRule>
  </conditionalFormatting>
  <conditionalFormatting sqref="E67:J70">
    <cfRule type="cellIs" dxfId="67" priority="447" operator="equal">
      <formula>"N/A"</formula>
    </cfRule>
    <cfRule type="cellIs" dxfId="66" priority="448" operator="equal">
      <formula>"Concern"</formula>
    </cfRule>
    <cfRule type="cellIs" dxfId="65" priority="450" operator="equal">
      <formula>"Pass"</formula>
    </cfRule>
    <cfRule type="cellIs" dxfId="64" priority="449" operator="equal">
      <formula>"Fail"</formula>
    </cfRule>
  </conditionalFormatting>
  <conditionalFormatting sqref="E72:J73">
    <cfRule type="cellIs" dxfId="63" priority="13" operator="equal">
      <formula>"N/A"</formula>
    </cfRule>
    <cfRule type="cellIs" dxfId="62" priority="14" operator="equal">
      <formula>"Concern"</formula>
    </cfRule>
    <cfRule type="cellIs" dxfId="61" priority="15" operator="equal">
      <formula>"Fail"</formula>
    </cfRule>
    <cfRule type="cellIs" dxfId="60" priority="16" operator="equal">
      <formula>"Pass"</formula>
    </cfRule>
  </conditionalFormatting>
  <conditionalFormatting sqref="E75:J76">
    <cfRule type="cellIs" dxfId="59" priority="10" operator="equal">
      <formula>"Concern"</formula>
    </cfRule>
    <cfRule type="cellIs" dxfId="58" priority="11" operator="equal">
      <formula>"Fail"</formula>
    </cfRule>
    <cfRule type="cellIs" dxfId="57" priority="12" operator="equal">
      <formula>"Pass"</formula>
    </cfRule>
    <cfRule type="cellIs" dxfId="56" priority="9" operator="equal">
      <formula>"N/A"</formula>
    </cfRule>
  </conditionalFormatting>
  <conditionalFormatting sqref="E98:J105">
    <cfRule type="cellIs" dxfId="55" priority="160" operator="equal">
      <formula>"Concern"</formula>
    </cfRule>
    <cfRule type="cellIs" dxfId="54" priority="162" operator="equal">
      <formula>"Pass"</formula>
    </cfRule>
    <cfRule type="cellIs" dxfId="53" priority="161" operator="equal">
      <formula>"Fail"</formula>
    </cfRule>
    <cfRule type="cellIs" dxfId="52" priority="159" operator="equal">
      <formula>"N/A"</formula>
    </cfRule>
  </conditionalFormatting>
  <conditionalFormatting sqref="E107:J108">
    <cfRule type="cellIs" dxfId="51" priority="349" operator="equal">
      <formula>"Fail"</formula>
    </cfRule>
    <cfRule type="cellIs" dxfId="50" priority="347" operator="equal">
      <formula>"N/A"</formula>
    </cfRule>
    <cfRule type="cellIs" dxfId="49" priority="348" operator="equal">
      <formula>"Concern"</formula>
    </cfRule>
    <cfRule type="cellIs" dxfId="48" priority="350" operator="equal">
      <formula>"Pass"</formula>
    </cfRule>
  </conditionalFormatting>
  <conditionalFormatting sqref="E110:J111">
    <cfRule type="cellIs" dxfId="47" priority="340" operator="equal">
      <formula>"Concern"</formula>
    </cfRule>
    <cfRule type="cellIs" dxfId="46" priority="341" operator="equal">
      <formula>"Fail"</formula>
    </cfRule>
    <cfRule type="cellIs" dxfId="45" priority="342" operator="equal">
      <formula>"Pass"</formula>
    </cfRule>
    <cfRule type="cellIs" dxfId="44" priority="339" operator="equal">
      <formula>"N/A"</formula>
    </cfRule>
  </conditionalFormatting>
  <conditionalFormatting sqref="E113:J116">
    <cfRule type="cellIs" dxfId="43" priority="335" operator="equal">
      <formula>"N/A"</formula>
    </cfRule>
    <cfRule type="cellIs" dxfId="42" priority="336" operator="equal">
      <formula>"Concern"</formula>
    </cfRule>
    <cfRule type="cellIs" dxfId="41" priority="337" operator="equal">
      <formula>"Fail"</formula>
    </cfRule>
    <cfRule type="cellIs" dxfId="40" priority="338" operator="equal">
      <formula>"Pass"</formula>
    </cfRule>
  </conditionalFormatting>
  <conditionalFormatting sqref="E118:J119">
    <cfRule type="cellIs" dxfId="39" priority="206" operator="equal">
      <formula>"Pass"</formula>
    </cfRule>
    <cfRule type="cellIs" dxfId="38" priority="203" operator="equal">
      <formula>"N/A"</formula>
    </cfRule>
    <cfRule type="cellIs" dxfId="37" priority="204" operator="equal">
      <formula>"Concern"</formula>
    </cfRule>
    <cfRule type="cellIs" dxfId="36" priority="205" operator="equal">
      <formula>"Fail"</formula>
    </cfRule>
  </conditionalFormatting>
  <conditionalFormatting sqref="E121:J121">
    <cfRule type="cellIs" dxfId="35" priority="319" operator="equal">
      <formula>"N/A"</formula>
    </cfRule>
    <cfRule type="cellIs" dxfId="34" priority="320" operator="equal">
      <formula>"Concern"</formula>
    </cfRule>
    <cfRule type="cellIs" dxfId="33" priority="321" operator="equal">
      <formula>"Fail"</formula>
    </cfRule>
    <cfRule type="cellIs" dxfId="32" priority="322" operator="equal">
      <formula>"Pass"</formula>
    </cfRule>
  </conditionalFormatting>
  <conditionalFormatting sqref="E123:J123">
    <cfRule type="cellIs" dxfId="31" priority="91" operator="equal">
      <formula>"Fail"</formula>
    </cfRule>
    <cfRule type="cellIs" dxfId="30" priority="90" operator="equal">
      <formula>"Concern"</formula>
    </cfRule>
    <cfRule type="cellIs" dxfId="29" priority="89" operator="equal">
      <formula>"N/A"</formula>
    </cfRule>
    <cfRule type="cellIs" dxfId="28" priority="92" operator="equal">
      <formula>"Pass"</formula>
    </cfRule>
  </conditionalFormatting>
  <conditionalFormatting sqref="E125:J129">
    <cfRule type="cellIs" dxfId="27" priority="84" operator="equal">
      <formula>"Pass"</formula>
    </cfRule>
    <cfRule type="cellIs" dxfId="26" priority="83" operator="equal">
      <formula>"Fail"</formula>
    </cfRule>
    <cfRule type="cellIs" dxfId="25" priority="82" operator="equal">
      <formula>"Concern"</formula>
    </cfRule>
    <cfRule type="cellIs" dxfId="24" priority="81" operator="equal">
      <formula>"N/A"</formula>
    </cfRule>
  </conditionalFormatting>
  <conditionalFormatting sqref="E131:J134">
    <cfRule type="cellIs" dxfId="23" priority="77" operator="equal">
      <formula>"N/A"</formula>
    </cfRule>
    <cfRule type="cellIs" dxfId="22" priority="78" operator="equal">
      <formula>"Concern"</formula>
    </cfRule>
    <cfRule type="cellIs" dxfId="21" priority="79" operator="equal">
      <formula>"Fail"</formula>
    </cfRule>
    <cfRule type="cellIs" dxfId="20" priority="80" operator="equal">
      <formula>"Pass"</formula>
    </cfRule>
  </conditionalFormatting>
  <conditionalFormatting sqref="E185:J186">
    <cfRule type="cellIs" dxfId="19" priority="219" operator="equal">
      <formula>"N/A"</formula>
    </cfRule>
    <cfRule type="cellIs" dxfId="18" priority="221" operator="equal">
      <formula>"Fail"</formula>
    </cfRule>
    <cfRule type="cellIs" dxfId="17" priority="220" operator="equal">
      <formula>"Concern"</formula>
    </cfRule>
    <cfRule type="cellIs" dxfId="16" priority="222" operator="equal">
      <formula>"Pass"</formula>
    </cfRule>
  </conditionalFormatting>
  <conditionalFormatting sqref="F158:F164 F165:J171">
    <cfRule type="cellIs" dxfId="15" priority="584" operator="equal">
      <formula>"Concern"</formula>
    </cfRule>
    <cfRule type="cellIs" dxfId="14" priority="583" operator="equal">
      <formula>"N/A"</formula>
    </cfRule>
    <cfRule type="cellIs" dxfId="13" priority="585" operator="equal">
      <formula>"Fail"</formula>
    </cfRule>
    <cfRule type="cellIs" dxfId="12" priority="586" operator="equal">
      <formula>"Pass"</formula>
    </cfRule>
  </conditionalFormatting>
  <conditionalFormatting sqref="F176:G176">
    <cfRule type="cellIs" dxfId="11" priority="576" operator="equal">
      <formula>"Concern"</formula>
    </cfRule>
    <cfRule type="cellIs" dxfId="10" priority="577" operator="equal">
      <formula>"Fail"</formula>
    </cfRule>
    <cfRule type="cellIs" dxfId="9" priority="578" operator="equal">
      <formula>"Pass"</formula>
    </cfRule>
    <cfRule type="cellIs" dxfId="8" priority="575" operator="equal">
      <formula>"N/A"</formula>
    </cfRule>
  </conditionalFormatting>
  <conditionalFormatting sqref="F177:J183">
    <cfRule type="cellIs" dxfId="7" priority="571" operator="equal">
      <formula>"N/A"</formula>
    </cfRule>
    <cfRule type="cellIs" dxfId="6" priority="572" operator="equal">
      <formula>"Concern"</formula>
    </cfRule>
    <cfRule type="cellIs" dxfId="5" priority="573" operator="equal">
      <formula>"Fail"</formula>
    </cfRule>
    <cfRule type="cellIs" dxfId="4" priority="574" operator="equal">
      <formula>"Pass"</formula>
    </cfRule>
  </conditionalFormatting>
  <conditionalFormatting sqref="H159:J164">
    <cfRule type="cellIs" dxfId="3" priority="152" operator="equal">
      <formula>"Pass"</formula>
    </cfRule>
    <cfRule type="cellIs" dxfId="2" priority="151" operator="equal">
      <formula>"Fail"</formula>
    </cfRule>
    <cfRule type="cellIs" dxfId="1" priority="150" operator="equal">
      <formula>"Concern"</formula>
    </cfRule>
    <cfRule type="cellIs" dxfId="0" priority="149" operator="equal">
      <formula>"N/A"</formula>
    </cfRule>
  </conditionalFormatting>
  <dataValidations count="5">
    <dataValidation type="list" allowBlank="1" showInputMessage="1" showErrorMessage="1" sqref="B130 B124 B122 B66 B4:C4 B35 B40 B46 B54 B60 B62 B64 B74 B77 B89 B97 B106 B109 B184 B112 B120 B175 B117" xr:uid="{997A122C-0D7C-4962-B81A-0884C924C99D}">
      <formula1>"NETCOM Entrance Criteria, AMC Entrance Criteria, Required Field in eMASS, Not a Required Field in eMASS, Autopopulated by eMASS"</formula1>
    </dataValidation>
    <dataValidation type="list" allowBlank="1" showInputMessage="1" showErrorMessage="1" sqref="F158:F186 F4:F70 F72:F156" xr:uid="{BD5A85E6-CD65-469D-82E2-A26D22C9795F}">
      <formula1>"Yes, No - Add to Terms &amp; Conditions, ISO - On the Spot Correction Suffices, No Further Action Required"</formula1>
    </dataValidation>
    <dataValidation type="list" allowBlank="1" showInputMessage="1" showErrorMessage="1" sqref="C198:C199" xr:uid="{272E6C20-A95D-4B52-94E5-33716243112E}">
      <formula1>"SP, POAM, ATC"</formula1>
    </dataValidation>
    <dataValidation type="list" allowBlank="1" showInputMessage="1" showErrorMessage="1" sqref="B163:B171 B36:B39 B183 B41:B45 B55:B59 B61 B63 B65 B67:B70 B72:B73 B75:B76 B113:B116 B107:B108 B110:B111 B98:B105 B90:B96 B123 B125:B129 B131:B134 B188:B196 B173:B174 B118:B119 B185:B186 B198:B199 B158:B161 B176:B177 B179:B181 B121 B78:B88 B136:B156 B5:B25 B30:B34 B47:B53" xr:uid="{FC985635-A803-48B5-85D6-BA905176970D}">
      <formula1>"NETCOM ATC Entrance Criteria, NETCOM-AMC Entrance Criteria, AMC Entrance Criteria, Required Field in eMASS, Not a Required Field in eMASS, Autopopulated by eMASS"</formula1>
    </dataValidation>
    <dataValidation type="list" allowBlank="1" showInputMessage="1" showErrorMessage="1" sqref="B182 B26:B29 B162 B178" xr:uid="{451C3DE6-AE97-4EB2-80EB-FD42064E31DC}">
      <formula1>"Cloud Review Check, NETCOM ATC Entrance Criteria, NETCOM-AMC Entrance Criteria, AMC Entrance Criteria, Required Field in eMASS, Not a Required Field in eMASS, Autopopulated by eMASS"</formula1>
    </dataValidation>
  </dataValidations>
  <pageMargins left="0.7" right="0.7" top="0.75" bottom="0.75" header="0.3" footer="0.3"/>
  <pageSetup orientation="portrait" horizontalDpi="1200" verticalDpi="1200" r:id="rId1"/>
  <extLst>
    <ext xmlns:x14="http://schemas.microsoft.com/office/spreadsheetml/2009/9/main" uri="{CCE6A557-97BC-4b89-ADB6-D9C93CAAB3DF}">
      <x14:dataValidations xmlns:xm="http://schemas.microsoft.com/office/excel/2006/main" count="4">
        <x14:dataValidation type="list" allowBlank="1" showInputMessage="1" showErrorMessage="1" xr:uid="{364C5EA4-6E60-47F3-B97F-6458D2EA0151}">
          <x14:formula1>
            <xm:f>'ISSM Responses'!$A$1:$A$2</xm:f>
          </x14:formula1>
          <xm:sqref>I61 I75:I76 I65 I36:I39 I41:I45 I107:I108 I110:I111 I113:I116 I125:I129 I121 I123 I158:I171 I185:I186 I176:I183 I63 I55:I59 I67:I70 I72:I73 I118:I119 I98:I105 I90:I96 I78:I88 I131:I156 I5:I34 I47:I53</xm:sqref>
        </x14:dataValidation>
        <x14:dataValidation type="list" allowBlank="1" showInputMessage="1" showErrorMessage="1" xr:uid="{2A0C93D8-9607-4E7D-B3D2-21651163EE7E}">
          <x14:formula1>
            <xm:f>Responses!$A$1:$A$4</xm:f>
          </x14:formula1>
          <xm:sqref>D45</xm:sqref>
        </x14:dataValidation>
        <x14:dataValidation type="list" allowBlank="1" showInputMessage="1" showErrorMessage="1" xr:uid="{7458DDD3-12CF-4A28-8417-EB455A9E52EA}">
          <x14:formula1>
            <xm:f>Responses!$A$1:$A$6</xm:f>
          </x14:formula1>
          <xm:sqref>E5:E6 E26:E29 E37:E38 E43:E45 E41 E57 E59 E65 E78:E79 E82 E99:E105 E108 E116 E118:E119 E123 E125:E129 E131:E134 E182:E183 E173:E174 E177:E178 E158:E171 E34</xm:sqref>
        </x14:dataValidation>
        <x14:dataValidation type="list" allowBlank="1" showInputMessage="1" showErrorMessage="1" xr:uid="{D62AD385-D852-4F76-A565-20CAC1519ADF}">
          <x14:formula1>
            <xm:f>Responses!$A$1:$A$7</xm:f>
          </x14:formula1>
          <xm:sqref>E30:E33 E35:E36 E42 E39:E40 E58 E60:E64 E66:E77 E106:E107 E109:E115 E124 E130 E172 E175:E176 E179:E181 E184:E199 E120:E122 E80:E81 E83:E98 E135:E157 E7:E25 E46:E56 E117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6A203F-92A5-4FC3-81D5-330F03CE286F}">
  <dimension ref="A1:A2"/>
  <sheetViews>
    <sheetView workbookViewId="0"/>
  </sheetViews>
  <sheetFormatPr defaultRowHeight="14.5" x14ac:dyDescent="0.35"/>
  <sheetData>
    <row r="1" spans="1:1" x14ac:dyDescent="0.35">
      <c r="A1" t="s">
        <v>180</v>
      </c>
    </row>
    <row r="2" spans="1:1" x14ac:dyDescent="0.35">
      <c r="A2" t="s">
        <v>181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D36028-0FF5-4DDD-ADE9-8A9D25CBCA66}">
  <dimension ref="A1:D7"/>
  <sheetViews>
    <sheetView workbookViewId="0">
      <selection activeCell="D26" sqref="D26"/>
    </sheetView>
  </sheetViews>
  <sheetFormatPr defaultRowHeight="14.5" x14ac:dyDescent="0.35"/>
  <cols>
    <col min="1" max="1" width="18.26953125" bestFit="1" customWidth="1"/>
    <col min="2" max="2" width="17.81640625" customWidth="1"/>
    <col min="4" max="4" width="22.7265625" customWidth="1"/>
  </cols>
  <sheetData>
    <row r="1" spans="1:4" x14ac:dyDescent="0.35">
      <c r="A1" s="1" t="s">
        <v>1</v>
      </c>
      <c r="B1" t="s">
        <v>182</v>
      </c>
      <c r="C1" t="s">
        <v>183</v>
      </c>
      <c r="D1" t="s">
        <v>184</v>
      </c>
    </row>
    <row r="2" spans="1:4" x14ac:dyDescent="0.35">
      <c r="A2" s="1" t="s">
        <v>2</v>
      </c>
      <c r="B2" t="s">
        <v>185</v>
      </c>
      <c r="C2" t="s">
        <v>186</v>
      </c>
      <c r="D2" t="s">
        <v>34</v>
      </c>
    </row>
    <row r="3" spans="1:4" x14ac:dyDescent="0.35">
      <c r="A3" s="1" t="s">
        <v>3</v>
      </c>
      <c r="B3" t="s">
        <v>187</v>
      </c>
      <c r="C3" t="s">
        <v>188</v>
      </c>
    </row>
    <row r="4" spans="1:4" x14ac:dyDescent="0.35">
      <c r="A4" s="1" t="s">
        <v>5</v>
      </c>
      <c r="B4" t="s">
        <v>189</v>
      </c>
    </row>
    <row r="5" spans="1:4" x14ac:dyDescent="0.35">
      <c r="A5" s="1" t="s">
        <v>4</v>
      </c>
      <c r="B5" t="s">
        <v>190</v>
      </c>
    </row>
    <row r="6" spans="1:4" x14ac:dyDescent="0.35">
      <c r="A6" s="1" t="s">
        <v>191</v>
      </c>
      <c r="B6" t="s">
        <v>192</v>
      </c>
    </row>
    <row r="7" spans="1:4" x14ac:dyDescent="0.35">
      <c r="A7" s="1" t="s">
        <v>82</v>
      </c>
      <c r="B7" t="s">
        <v>193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4cdc712e-faf1-4ae0-97d6-b3a53b929e45" xsi:nil="true"/>
    <lcf76f155ced4ddcb4097134ff3c332f xmlns="ede3bdc6-c82e-455e-9923-36fa551b4d04">
      <Terms xmlns="http://schemas.microsoft.com/office/infopath/2007/PartnerControls"/>
    </lcf76f155ced4ddcb4097134ff3c332f>
    <Comments xmlns="ede3bdc6-c82e-455e-9923-36fa551b4d04" xsi:nil="true"/>
    <_ip_UnifiedCompliancePolicyUIAction xmlns="http://schemas.microsoft.com/sharepoint/v3" xsi:nil="true"/>
    <_ip_UnifiedCompliancePolicyProperties xmlns="http://schemas.microsoft.com/sharepoint/v3"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0C3A345A2997254D956A9EB6204A0F53" ma:contentTypeVersion="17" ma:contentTypeDescription="Create a new document." ma:contentTypeScope="" ma:versionID="1334b6b71b8df34d6f00d50d824af762">
  <xsd:schema xmlns:xsd="http://www.w3.org/2001/XMLSchema" xmlns:xs="http://www.w3.org/2001/XMLSchema" xmlns:p="http://schemas.microsoft.com/office/2006/metadata/properties" xmlns:ns1="http://schemas.microsoft.com/sharepoint/v3" xmlns:ns2="ede3bdc6-c82e-455e-9923-36fa551b4d04" xmlns:ns3="4cdc712e-faf1-4ae0-97d6-b3a53b929e45" targetNamespace="http://schemas.microsoft.com/office/2006/metadata/properties" ma:root="true" ma:fieldsID="df406f4d30cc6a9bd494ec10c0901f4f" ns1:_="" ns2:_="" ns3:_="">
    <xsd:import namespace="http://schemas.microsoft.com/sharepoint/v3"/>
    <xsd:import namespace="ede3bdc6-c82e-455e-9923-36fa551b4d04"/>
    <xsd:import namespace="4cdc712e-faf1-4ae0-97d6-b3a53b929e45"/>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1:_ip_UnifiedCompliancePolicyProperties" minOccurs="0"/>
                <xsd:element ref="ns1:_ip_UnifiedCompliancePolicyUIAction" minOccurs="0"/>
                <xsd:element ref="ns2:MediaServiceSearchProperties" minOccurs="0"/>
                <xsd:element ref="ns2:Comme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1" nillable="true" ma:displayName="Unified Compliance Policy Properties" ma:hidden="true" ma:internalName="_ip_UnifiedCompliancePolicyProperties">
      <xsd:simpleType>
        <xsd:restriction base="dms:Note"/>
      </xsd:simpleType>
    </xsd:element>
    <xsd:element name="_ip_UnifiedCompliancePolicyUIAction" ma:index="22"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de3bdc6-c82e-455e-9923-36fa551b4d0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cc874fec-6985-468d-9a86-0194f6fd86dc"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Comments" ma:index="24" nillable="true" ma:displayName="Comments" ma:format="Dropdown" ma:internalName="Comments">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cdc712e-faf1-4ae0-97d6-b3a53b929e45"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2ec21e36-c322-4d82-8eea-4ed9bbca1582}" ma:internalName="TaxCatchAll" ma:showField="CatchAllData" ma:web="4cdc712e-faf1-4ae0-97d6-b3a53b929e4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95266F3-78F2-4ED2-8298-799924063CBF}">
  <ds:schemaRefs>
    <ds:schemaRef ds:uri="http://schemas.microsoft.com/office/2006/documentManagement/types"/>
    <ds:schemaRef ds:uri="4cdc712e-faf1-4ae0-97d6-b3a53b929e45"/>
    <ds:schemaRef ds:uri="http://schemas.microsoft.com/office/2006/metadata/properties"/>
    <ds:schemaRef ds:uri="http://schemas.microsoft.com/sharepoint/v3"/>
    <ds:schemaRef ds:uri="http://purl.org/dc/dcmitype/"/>
    <ds:schemaRef ds:uri="http://schemas.microsoft.com/office/infopath/2007/PartnerControls"/>
    <ds:schemaRef ds:uri="http://schemas.openxmlformats.org/package/2006/metadata/core-properties"/>
    <ds:schemaRef ds:uri="http://www.w3.org/XML/1998/namespace"/>
    <ds:schemaRef ds:uri="ede3bdc6-c82e-455e-9923-36fa551b4d04"/>
    <ds:schemaRef ds:uri="http://purl.org/dc/terms/"/>
    <ds:schemaRef ds:uri="http://purl.org/dc/elements/1.1/"/>
  </ds:schemaRefs>
</ds:datastoreItem>
</file>

<file path=customXml/itemProps2.xml><?xml version="1.0" encoding="utf-8"?>
<ds:datastoreItem xmlns:ds="http://schemas.openxmlformats.org/officeDocument/2006/customXml" ds:itemID="{E582F82A-F8DA-4973-BA66-399728CC6B0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ede3bdc6-c82e-455e-9923-36fa551b4d04"/>
    <ds:schemaRef ds:uri="4cdc712e-faf1-4ae0-97d6-b3a53b929e4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4FAA9A3B-1304-4E32-9B0C-5CEF2A71E944}">
  <ds:schemaRefs>
    <ds:schemaRef ds:uri="http://schemas.microsoft.com/sharepoint/v3/contenttype/forms"/>
  </ds:schemaRefs>
</ds:datastoreItem>
</file>

<file path=docMetadata/LabelInfo.xml><?xml version="1.0" encoding="utf-8"?>
<clbl:labelList xmlns:clbl="http://schemas.microsoft.com/office/2020/mipLabelMetadata">
  <clbl:label id="{554eecc5-e26c-4620-b240-5a8bb326c33d}" enabled="1" method="Privileged" siteId="{fae6d70f-954b-4811-92b6-0530d6f84c43}"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Package Status</vt:lpstr>
      <vt:lpstr>P-ISSM_Checklist</vt:lpstr>
      <vt:lpstr>ISSM Responses</vt:lpstr>
      <vt:lpstr>Responses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Barnard, Erika M Ms. CTR USA IMCOM HQ</dc:creator>
  <cp:keywords/>
  <dc:description/>
  <cp:lastModifiedBy>John Weise</cp:lastModifiedBy>
  <cp:revision/>
  <dcterms:created xsi:type="dcterms:W3CDTF">2024-01-26T20:26:02Z</dcterms:created>
  <dcterms:modified xsi:type="dcterms:W3CDTF">2025-09-08T20:41:24Z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0x0101000C3A345A2997254D956A9EB6204A0F53</vt:lpwstr>
  </property>
  <property fmtid="{D5CDD505-2E9C-101B-9397-08002B2CF9AE}" pid="3" name="MediaServiceImageTags">
    <vt:lpwstr/>
  </property>
</Properties>
</file>